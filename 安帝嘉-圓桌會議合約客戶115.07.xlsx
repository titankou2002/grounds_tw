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icole-pc\安安公佈欄2\公佈欄\安帝嘉常用資料夾\圓桌會議\合約客戶\"/>
    </mc:Choice>
  </mc:AlternateContent>
  <xr:revisionPtr revIDLastSave="0" documentId="13_ncr:1_{1E8F01A8-0F62-43A4-96C9-0F0B4B34CFF0}" xr6:coauthVersionLast="47" xr6:coauthVersionMax="47" xr10:uidLastSave="{00000000-0000-0000-0000-000000000000}"/>
  <bookViews>
    <workbookView xWindow="-120" yWindow="-120" windowWidth="29040" windowHeight="15840" tabRatio="742" activeTab="6" xr2:uid="{00000000-000D-0000-FFFF-FFFF00000000}"/>
  </bookViews>
  <sheets>
    <sheet name="115.01" sheetId="89" r:id="rId1"/>
    <sheet name="115.02" sheetId="90" r:id="rId2"/>
    <sheet name="115.03" sheetId="91" r:id="rId3"/>
    <sheet name="115.04" sheetId="92" r:id="rId4"/>
    <sheet name="115.05" sheetId="93" r:id="rId5"/>
    <sheet name="115.06" sheetId="94" r:id="rId6"/>
    <sheet name="115.07" sheetId="95" r:id="rId7"/>
    <sheet name="工作表1" sheetId="87" r:id="rId8"/>
  </sheets>
  <externalReferences>
    <externalReference r:id="rId9"/>
  </externalReferences>
  <definedNames>
    <definedName name="_xlnm._FilterDatabase" localSheetId="0" hidden="1">'115.01'!$A$2:$S$80</definedName>
    <definedName name="_xlnm._FilterDatabase" localSheetId="1" hidden="1">'115.02'!$A$2:$S$80</definedName>
    <definedName name="_xlnm._FilterDatabase" localSheetId="2" hidden="1">'115.03'!$A$2:$S$80</definedName>
    <definedName name="_xlnm._FilterDatabase" localSheetId="3" hidden="1">'115.04'!$A$2:$S$81</definedName>
    <definedName name="_xlnm._FilterDatabase" localSheetId="4" hidden="1">'115.05'!$A$2:$S$81</definedName>
    <definedName name="_xlnm._FilterDatabase" localSheetId="5" hidden="1">'115.06'!$A$2:$S$81</definedName>
    <definedName name="_xlnm._FilterDatabase" localSheetId="6" hidden="1">'115.07'!$A$2:$T$81</definedName>
    <definedName name="_xlnm._FilterDatabase" hidden="1">#REF!</definedName>
    <definedName name="ALL">[1]分類!$A$1:$B$27</definedName>
    <definedName name="_xlnm.Print_Area" localSheetId="0">'115.01'!$A$1:$L$80</definedName>
    <definedName name="_xlnm.Print_Area" localSheetId="1">'115.02'!$A$1:$L$80</definedName>
    <definedName name="_xlnm.Print_Area" localSheetId="2">'115.03'!$A$1:$L$80</definedName>
    <definedName name="_xlnm.Print_Area" localSheetId="3">'115.04'!$A$1:$L$81</definedName>
    <definedName name="_xlnm.Print_Area" localSheetId="4">'115.05'!$A$1:$L$81</definedName>
    <definedName name="_xlnm.Print_Area" localSheetId="5">'115.06'!$A$1:$L$81</definedName>
    <definedName name="_xlnm.Print_Area" localSheetId="6">'115.07'!$A$1:$M$81</definedName>
    <definedName name="_xlnm.Print_Titles" localSheetId="0">'115.01'!$1:$2</definedName>
    <definedName name="_xlnm.Print_Titles" localSheetId="1">'115.02'!$1:$2</definedName>
    <definedName name="_xlnm.Print_Titles" localSheetId="2">'115.03'!$1:$2</definedName>
    <definedName name="_xlnm.Print_Titles" localSheetId="3">'115.04'!$1:$2</definedName>
    <definedName name="_xlnm.Print_Titles" localSheetId="4">'115.05'!$1:$2</definedName>
    <definedName name="_xlnm.Print_Titles" localSheetId="5">'115.06'!$1:$2</definedName>
    <definedName name="_xlnm.Print_Titles" localSheetId="6">'115.07'!$1:$2</definedName>
    <definedName name="Z_70249E8D_203B_4CBC_B8B2_7DB1B9066D88_.wvu.FilterData" hidden="1">#REF!</definedName>
  </definedNames>
  <calcPr calcId="191029"/>
</workbook>
</file>

<file path=xl/calcChain.xml><?xml version="1.0" encoding="utf-8"?>
<calcChain xmlns="http://schemas.openxmlformats.org/spreadsheetml/2006/main">
  <c r="L4" i="87" l="1"/>
  <c r="L28" i="95" l="1"/>
  <c r="L3" i="95"/>
  <c r="F80" i="95"/>
  <c r="D80" i="95"/>
  <c r="B80" i="95"/>
  <c r="E78" i="95"/>
  <c r="E79" i="95" s="1"/>
  <c r="T77" i="95"/>
  <c r="L77" i="95"/>
  <c r="G77" i="95"/>
  <c r="T76" i="95"/>
  <c r="L76" i="95"/>
  <c r="G76" i="95"/>
  <c r="T75" i="95"/>
  <c r="L75" i="95"/>
  <c r="G75" i="95"/>
  <c r="T74" i="95"/>
  <c r="L74" i="95"/>
  <c r="G74" i="95"/>
  <c r="T73" i="95"/>
  <c r="L73" i="95"/>
  <c r="G73" i="95"/>
  <c r="T72" i="95"/>
  <c r="L72" i="95"/>
  <c r="G72" i="95"/>
  <c r="T71" i="95"/>
  <c r="L71" i="95"/>
  <c r="G71" i="95"/>
  <c r="T70" i="95"/>
  <c r="L70" i="95"/>
  <c r="G70" i="95"/>
  <c r="T69" i="95"/>
  <c r="L69" i="95"/>
  <c r="G69" i="95"/>
  <c r="T68" i="95"/>
  <c r="L68" i="95"/>
  <c r="G68" i="95"/>
  <c r="T67" i="95"/>
  <c r="L67" i="95"/>
  <c r="G67" i="95"/>
  <c r="T66" i="95"/>
  <c r="L66" i="95"/>
  <c r="G66" i="95"/>
  <c r="T65" i="95"/>
  <c r="L65" i="95"/>
  <c r="G65" i="95"/>
  <c r="T64" i="95"/>
  <c r="L64" i="95"/>
  <c r="G64" i="95"/>
  <c r="T63" i="95"/>
  <c r="L63" i="95"/>
  <c r="G63" i="95"/>
  <c r="T62" i="95"/>
  <c r="L62" i="95"/>
  <c r="G62" i="95"/>
  <c r="T61" i="95"/>
  <c r="L61" i="95"/>
  <c r="G61" i="95"/>
  <c r="T60" i="95"/>
  <c r="L60" i="95"/>
  <c r="G60" i="95"/>
  <c r="T59" i="95"/>
  <c r="L59" i="95"/>
  <c r="G59" i="95"/>
  <c r="T58" i="95"/>
  <c r="L58" i="95"/>
  <c r="G58" i="95"/>
  <c r="T57" i="95"/>
  <c r="L57" i="95"/>
  <c r="G57" i="95"/>
  <c r="T56" i="95"/>
  <c r="L56" i="95"/>
  <c r="G56" i="95"/>
  <c r="T55" i="95"/>
  <c r="L55" i="95"/>
  <c r="G55" i="95"/>
  <c r="T54" i="95"/>
  <c r="L54" i="95"/>
  <c r="G54" i="95"/>
  <c r="T53" i="95"/>
  <c r="L53" i="95"/>
  <c r="G53" i="95"/>
  <c r="T52" i="95"/>
  <c r="L52" i="95"/>
  <c r="G52" i="95"/>
  <c r="T51" i="95"/>
  <c r="L51" i="95"/>
  <c r="G51" i="95"/>
  <c r="T50" i="95"/>
  <c r="L50" i="95"/>
  <c r="G50" i="95"/>
  <c r="T49" i="95"/>
  <c r="L49" i="95"/>
  <c r="G49" i="95"/>
  <c r="T48" i="95"/>
  <c r="L48" i="95"/>
  <c r="G48" i="95"/>
  <c r="T47" i="95"/>
  <c r="L47" i="95"/>
  <c r="G47" i="95"/>
  <c r="T46" i="95"/>
  <c r="L46" i="95"/>
  <c r="G46" i="95"/>
  <c r="T45" i="95"/>
  <c r="L45" i="95"/>
  <c r="G45" i="95"/>
  <c r="T44" i="95"/>
  <c r="L44" i="95"/>
  <c r="G44" i="95"/>
  <c r="T43" i="95"/>
  <c r="L43" i="95"/>
  <c r="G43" i="95"/>
  <c r="T42" i="95"/>
  <c r="L42" i="95"/>
  <c r="G42" i="95"/>
  <c r="T41" i="95"/>
  <c r="U41" i="95" s="1"/>
  <c r="T40" i="95"/>
  <c r="L40" i="95"/>
  <c r="G40" i="95"/>
  <c r="T39" i="95"/>
  <c r="L39" i="95"/>
  <c r="G39" i="95"/>
  <c r="T38" i="95"/>
  <c r="L38" i="95"/>
  <c r="G38" i="95"/>
  <c r="T37" i="95"/>
  <c r="U37" i="95" s="1"/>
  <c r="L37" i="95"/>
  <c r="G37" i="95"/>
  <c r="T36" i="95"/>
  <c r="L36" i="95"/>
  <c r="G36" i="95"/>
  <c r="T35" i="95"/>
  <c r="L35" i="95"/>
  <c r="G35" i="95"/>
  <c r="T34" i="95"/>
  <c r="L34" i="95"/>
  <c r="G34" i="95"/>
  <c r="T33" i="95"/>
  <c r="L33" i="95"/>
  <c r="G33" i="95"/>
  <c r="T32" i="95"/>
  <c r="L32" i="95"/>
  <c r="G32" i="95"/>
  <c r="T31" i="95"/>
  <c r="U31" i="95" s="1"/>
  <c r="L31" i="95"/>
  <c r="G31" i="95"/>
  <c r="T30" i="95"/>
  <c r="L30" i="95"/>
  <c r="G30" i="95"/>
  <c r="T29" i="95"/>
  <c r="L29" i="95"/>
  <c r="G29" i="95"/>
  <c r="T28" i="95"/>
  <c r="G28" i="95"/>
  <c r="T27" i="95"/>
  <c r="L27" i="95"/>
  <c r="G27" i="95"/>
  <c r="T26" i="95"/>
  <c r="L26" i="95"/>
  <c r="G26" i="95"/>
  <c r="T25" i="95"/>
  <c r="U25" i="95" s="1"/>
  <c r="L25" i="95"/>
  <c r="G25" i="95"/>
  <c r="T24" i="95"/>
  <c r="L24" i="95"/>
  <c r="G24" i="95"/>
  <c r="T23" i="95"/>
  <c r="L23" i="95"/>
  <c r="G23" i="95"/>
  <c r="T22" i="95"/>
  <c r="L22" i="95"/>
  <c r="G22" i="95"/>
  <c r="T21" i="95"/>
  <c r="L21" i="95"/>
  <c r="G21" i="95"/>
  <c r="T20" i="95"/>
  <c r="L20" i="95"/>
  <c r="G20" i="95"/>
  <c r="T19" i="95"/>
  <c r="U19" i="95" s="1"/>
  <c r="L19" i="95"/>
  <c r="G19" i="95"/>
  <c r="T18" i="95"/>
  <c r="L18" i="95"/>
  <c r="J78" i="95"/>
  <c r="G18" i="95"/>
  <c r="T17" i="95"/>
  <c r="L17" i="95"/>
  <c r="G17" i="95"/>
  <c r="T16" i="95"/>
  <c r="L16" i="95"/>
  <c r="G16" i="95"/>
  <c r="T15" i="95"/>
  <c r="L15" i="95"/>
  <c r="G15" i="95"/>
  <c r="T14" i="95"/>
  <c r="L14" i="95"/>
  <c r="G14" i="95"/>
  <c r="T13" i="95"/>
  <c r="U13" i="95" s="1"/>
  <c r="L13" i="95"/>
  <c r="G13" i="95"/>
  <c r="T12" i="95"/>
  <c r="L12" i="95"/>
  <c r="G12" i="95"/>
  <c r="T11" i="95"/>
  <c r="L11" i="95"/>
  <c r="G11" i="95"/>
  <c r="T10" i="95"/>
  <c r="L10" i="95"/>
  <c r="G10" i="95"/>
  <c r="T9" i="95"/>
  <c r="L9" i="95"/>
  <c r="G9" i="95"/>
  <c r="T8" i="95"/>
  <c r="L8" i="95"/>
  <c r="G8" i="95"/>
  <c r="T7" i="95"/>
  <c r="U7" i="95" s="1"/>
  <c r="L7" i="95"/>
  <c r="G7" i="95"/>
  <c r="T6" i="95"/>
  <c r="L6" i="95"/>
  <c r="G6" i="95"/>
  <c r="T5" i="95"/>
  <c r="L5" i="95"/>
  <c r="G5" i="95"/>
  <c r="T4" i="95"/>
  <c r="L4" i="95"/>
  <c r="G4" i="95"/>
  <c r="T3" i="95"/>
  <c r="G3" i="95"/>
  <c r="P1" i="95"/>
  <c r="K11" i="94"/>
  <c r="K50" i="94"/>
  <c r="K36" i="94"/>
  <c r="K28" i="94"/>
  <c r="K55" i="94"/>
  <c r="K8" i="94"/>
  <c r="K72" i="94"/>
  <c r="K80" i="95" l="1"/>
  <c r="U22" i="95"/>
  <c r="U28" i="95"/>
  <c r="U34" i="95"/>
  <c r="U40" i="95"/>
  <c r="U45" i="95"/>
  <c r="U51" i="95"/>
  <c r="U63" i="95"/>
  <c r="U69" i="95"/>
  <c r="U75" i="95"/>
  <c r="U42" i="95"/>
  <c r="U48" i="95"/>
  <c r="U60" i="95"/>
  <c r="U72" i="95"/>
  <c r="U4" i="95"/>
  <c r="U10" i="95"/>
  <c r="U16" i="95"/>
  <c r="U66" i="95"/>
  <c r="U54" i="95"/>
  <c r="U17" i="95"/>
  <c r="U57" i="95"/>
  <c r="U8" i="95"/>
  <c r="U14" i="95"/>
  <c r="L80" i="95"/>
  <c r="I80" i="95"/>
  <c r="U5" i="95"/>
  <c r="U9" i="95"/>
  <c r="U18" i="95"/>
  <c r="U20" i="95"/>
  <c r="U24" i="95"/>
  <c r="U26" i="95"/>
  <c r="U30" i="95"/>
  <c r="U32" i="95"/>
  <c r="U36" i="95"/>
  <c r="U38" i="95"/>
  <c r="U11" i="95"/>
  <c r="U3" i="95"/>
  <c r="U12" i="95"/>
  <c r="U21" i="95"/>
  <c r="U23" i="95"/>
  <c r="U27" i="95"/>
  <c r="U29" i="95"/>
  <c r="U33" i="95"/>
  <c r="U35" i="95"/>
  <c r="U39" i="95"/>
  <c r="U44" i="95"/>
  <c r="U46" i="95"/>
  <c r="U50" i="95"/>
  <c r="U52" i="95"/>
  <c r="U56" i="95"/>
  <c r="U58" i="95"/>
  <c r="U62" i="95"/>
  <c r="U64" i="95"/>
  <c r="U68" i="95"/>
  <c r="U70" i="95"/>
  <c r="U74" i="95"/>
  <c r="U76" i="95"/>
  <c r="U6" i="95"/>
  <c r="U15" i="95"/>
  <c r="U43" i="95"/>
  <c r="U47" i="95"/>
  <c r="U49" i="95"/>
  <c r="U53" i="95"/>
  <c r="U55" i="95"/>
  <c r="U59" i="95"/>
  <c r="U61" i="95"/>
  <c r="U65" i="95"/>
  <c r="U67" i="95"/>
  <c r="U71" i="95"/>
  <c r="U73" i="95"/>
  <c r="U77" i="95"/>
  <c r="K65" i="94"/>
  <c r="K12" i="94"/>
  <c r="K63" i="94"/>
  <c r="K46" i="94"/>
  <c r="K7" i="94"/>
  <c r="K17" i="94" l="1"/>
  <c r="K16" i="94"/>
  <c r="K60" i="94"/>
  <c r="K20" i="94"/>
  <c r="K18" i="94"/>
  <c r="J18" i="94"/>
  <c r="K68" i="94"/>
  <c r="K40" i="94"/>
  <c r="K58" i="94"/>
  <c r="K51" i="94"/>
  <c r="K5" i="94"/>
  <c r="K3" i="94"/>
  <c r="K13" i="94"/>
  <c r="K64" i="94"/>
  <c r="K52" i="94"/>
  <c r="K75" i="94" l="1"/>
  <c r="K74" i="94"/>
  <c r="K49" i="94"/>
  <c r="K26" i="94"/>
  <c r="K19" i="94"/>
  <c r="K56" i="94" l="1"/>
  <c r="K53" i="94"/>
  <c r="K48" i="94"/>
  <c r="O1" i="94"/>
  <c r="K47" i="94"/>
  <c r="K44" i="94"/>
  <c r="K43" i="94"/>
  <c r="K4" i="94"/>
  <c r="K62" i="94"/>
  <c r="K59" i="94"/>
  <c r="K45" i="94"/>
  <c r="K39" i="94"/>
  <c r="K35" i="94"/>
  <c r="K34" i="94"/>
  <c r="K32" i="94"/>
  <c r="K31" i="94"/>
  <c r="K22" i="94"/>
  <c r="K77" i="94"/>
  <c r="K70" i="94"/>
  <c r="K69" i="94"/>
  <c r="K42" i="94"/>
  <c r="K24" i="94" l="1"/>
  <c r="K14" i="94"/>
  <c r="K10" i="94"/>
  <c r="K37" i="94"/>
  <c r="K33" i="94"/>
  <c r="K27" i="94"/>
  <c r="K6" i="94" l="1"/>
  <c r="K71" i="94"/>
  <c r="K23" i="94" l="1"/>
  <c r="K25" i="94"/>
  <c r="K76" i="94"/>
  <c r="K73" i="94"/>
  <c r="K67" i="94"/>
  <c r="K66" i="94"/>
  <c r="K57" i="94"/>
  <c r="K54" i="94"/>
  <c r="K29" i="94"/>
  <c r="K9" i="94"/>
  <c r="F80" i="94"/>
  <c r="D80" i="94"/>
  <c r="B80" i="94"/>
  <c r="J78" i="94"/>
  <c r="E78" i="94"/>
  <c r="E79" i="94" s="1"/>
  <c r="S77" i="94"/>
  <c r="G77" i="94"/>
  <c r="S76" i="94"/>
  <c r="G76" i="94"/>
  <c r="S75" i="94"/>
  <c r="G75" i="94"/>
  <c r="S74" i="94"/>
  <c r="G74" i="94"/>
  <c r="S73" i="94"/>
  <c r="G73" i="94"/>
  <c r="S72" i="94"/>
  <c r="G72" i="94"/>
  <c r="S71" i="94"/>
  <c r="G71" i="94"/>
  <c r="S70" i="94"/>
  <c r="G70" i="94"/>
  <c r="S69" i="94"/>
  <c r="G69" i="94"/>
  <c r="S68" i="94"/>
  <c r="G68" i="94"/>
  <c r="S67" i="94"/>
  <c r="G67" i="94"/>
  <c r="S66" i="94"/>
  <c r="G66" i="94"/>
  <c r="S65" i="94"/>
  <c r="G65" i="94"/>
  <c r="S64" i="94"/>
  <c r="G64" i="94"/>
  <c r="S63" i="94"/>
  <c r="G63" i="94"/>
  <c r="S62" i="94"/>
  <c r="G62" i="94"/>
  <c r="S61" i="94"/>
  <c r="K61" i="94"/>
  <c r="G61" i="94"/>
  <c r="S60" i="94"/>
  <c r="G60" i="94"/>
  <c r="S59" i="94"/>
  <c r="G59" i="94"/>
  <c r="S58" i="94"/>
  <c r="G58" i="94"/>
  <c r="S57" i="94"/>
  <c r="G57" i="94"/>
  <c r="S56" i="94"/>
  <c r="G56" i="94"/>
  <c r="S55" i="94"/>
  <c r="G55" i="94"/>
  <c r="S54" i="94"/>
  <c r="G54" i="94"/>
  <c r="S53" i="94"/>
  <c r="G53" i="94"/>
  <c r="S52" i="94"/>
  <c r="G52" i="94"/>
  <c r="S51" i="94"/>
  <c r="G51" i="94"/>
  <c r="S50" i="94"/>
  <c r="G50" i="94"/>
  <c r="S49" i="94"/>
  <c r="G49" i="94"/>
  <c r="S48" i="94"/>
  <c r="G48" i="94"/>
  <c r="S47" i="94"/>
  <c r="G47" i="94"/>
  <c r="S46" i="94"/>
  <c r="G46" i="94"/>
  <c r="S45" i="94"/>
  <c r="G45" i="94"/>
  <c r="S44" i="94"/>
  <c r="G44" i="94"/>
  <c r="S43" i="94"/>
  <c r="G43" i="94"/>
  <c r="S42" i="94"/>
  <c r="G42" i="94"/>
  <c r="S41" i="94"/>
  <c r="S40" i="94"/>
  <c r="G40" i="94"/>
  <c r="S39" i="94"/>
  <c r="G39" i="94"/>
  <c r="S38" i="94"/>
  <c r="K38" i="94"/>
  <c r="G38" i="94"/>
  <c r="S37" i="94"/>
  <c r="G37" i="94"/>
  <c r="S36" i="94"/>
  <c r="G36" i="94"/>
  <c r="S35" i="94"/>
  <c r="G35" i="94"/>
  <c r="S34" i="94"/>
  <c r="G34" i="94"/>
  <c r="S33" i="94"/>
  <c r="G33" i="94"/>
  <c r="S32" i="94"/>
  <c r="G32" i="94"/>
  <c r="S31" i="94"/>
  <c r="T31" i="94" s="1"/>
  <c r="G31" i="94"/>
  <c r="S30" i="94"/>
  <c r="K30" i="94"/>
  <c r="G30" i="94"/>
  <c r="S29" i="94"/>
  <c r="G29" i="94"/>
  <c r="S28" i="94"/>
  <c r="G28" i="94"/>
  <c r="S27" i="94"/>
  <c r="G27" i="94"/>
  <c r="S26" i="94"/>
  <c r="G26" i="94"/>
  <c r="S25" i="94"/>
  <c r="G25" i="94"/>
  <c r="S24" i="94"/>
  <c r="G24" i="94"/>
  <c r="S23" i="94"/>
  <c r="T23" i="94" s="1"/>
  <c r="G23" i="94"/>
  <c r="S22" i="94"/>
  <c r="G22" i="94"/>
  <c r="S21" i="94"/>
  <c r="K21" i="94"/>
  <c r="G21" i="94"/>
  <c r="S20" i="94"/>
  <c r="G20" i="94"/>
  <c r="S19" i="94"/>
  <c r="G19" i="94"/>
  <c r="S18" i="94"/>
  <c r="G18" i="94"/>
  <c r="S17" i="94"/>
  <c r="G17" i="94"/>
  <c r="S16" i="94"/>
  <c r="G16" i="94"/>
  <c r="S15" i="94"/>
  <c r="K15" i="94"/>
  <c r="G15" i="94"/>
  <c r="S14" i="94"/>
  <c r="G14" i="94"/>
  <c r="S13" i="94"/>
  <c r="G13" i="94"/>
  <c r="S12" i="94"/>
  <c r="G12" i="94"/>
  <c r="S11" i="94"/>
  <c r="G11" i="94"/>
  <c r="S10" i="94"/>
  <c r="G10" i="94"/>
  <c r="S9" i="94"/>
  <c r="G9" i="94"/>
  <c r="S8" i="94"/>
  <c r="G8" i="94"/>
  <c r="S7" i="94"/>
  <c r="G7" i="94"/>
  <c r="S6" i="94"/>
  <c r="G6" i="94"/>
  <c r="S5" i="94"/>
  <c r="G5" i="94"/>
  <c r="S4" i="94"/>
  <c r="G4" i="94"/>
  <c r="S3" i="94"/>
  <c r="G3" i="94"/>
  <c r="K72" i="93"/>
  <c r="K68" i="93"/>
  <c r="K11" i="93"/>
  <c r="K20" i="93"/>
  <c r="K65" i="93"/>
  <c r="K33" i="93"/>
  <c r="K17" i="93"/>
  <c r="K16" i="93"/>
  <c r="K12" i="93"/>
  <c r="K60" i="93"/>
  <c r="K36" i="93"/>
  <c r="K34" i="93"/>
  <c r="K9" i="93"/>
  <c r="T17" i="94" l="1"/>
  <c r="T5" i="94"/>
  <c r="T9" i="94"/>
  <c r="T19" i="94"/>
  <c r="T55" i="94"/>
  <c r="T65" i="94"/>
  <c r="T71" i="94"/>
  <c r="T15" i="94"/>
  <c r="T7" i="94"/>
  <c r="T16" i="94"/>
  <c r="T67" i="94"/>
  <c r="T42" i="94"/>
  <c r="T48" i="94"/>
  <c r="T60" i="94"/>
  <c r="T22" i="94"/>
  <c r="T28" i="94"/>
  <c r="T63" i="94"/>
  <c r="T53" i="94"/>
  <c r="T3" i="94"/>
  <c r="T10" i="94"/>
  <c r="T27" i="94"/>
  <c r="T59" i="94"/>
  <c r="T69" i="94"/>
  <c r="T75" i="94"/>
  <c r="T34" i="94"/>
  <c r="T21" i="94"/>
  <c r="T72" i="94"/>
  <c r="T47" i="94"/>
  <c r="T73" i="94"/>
  <c r="T43" i="94"/>
  <c r="T4" i="94"/>
  <c r="T61" i="94"/>
  <c r="T11" i="94"/>
  <c r="T77" i="94"/>
  <c r="T66" i="94"/>
  <c r="T54" i="94"/>
  <c r="T51" i="94"/>
  <c r="T45" i="94"/>
  <c r="T40" i="94"/>
  <c r="T29" i="94"/>
  <c r="T25" i="94"/>
  <c r="T6" i="94"/>
  <c r="T8" i="94"/>
  <c r="T12" i="94"/>
  <c r="T33" i="94"/>
  <c r="T14" i="94"/>
  <c r="T18" i="94"/>
  <c r="T20" i="94"/>
  <c r="T24" i="94"/>
  <c r="T26" i="94"/>
  <c r="T39" i="94"/>
  <c r="I80" i="94"/>
  <c r="T41" i="94"/>
  <c r="T37" i="94"/>
  <c r="T13" i="94"/>
  <c r="K80" i="94"/>
  <c r="T57" i="94"/>
  <c r="T30" i="94"/>
  <c r="T32" i="94"/>
  <c r="T36" i="94"/>
  <c r="T49" i="94"/>
  <c r="T38" i="94"/>
  <c r="T44" i="94"/>
  <c r="T46" i="94"/>
  <c r="T50" i="94"/>
  <c r="T52" i="94"/>
  <c r="T56" i="94"/>
  <c r="T58" i="94"/>
  <c r="T62" i="94"/>
  <c r="T64" i="94"/>
  <c r="T68" i="94"/>
  <c r="T70" i="94"/>
  <c r="T74" i="94"/>
  <c r="T76" i="94"/>
  <c r="T35" i="94"/>
  <c r="K7" i="93"/>
  <c r="K77" i="93"/>
  <c r="K74" i="93"/>
  <c r="K73" i="93"/>
  <c r="K71" i="93"/>
  <c r="K70" i="93"/>
  <c r="K58" i="93"/>
  <c r="K42" i="93"/>
  <c r="K14" i="93"/>
  <c r="K56" i="93"/>
  <c r="K50" i="93"/>
  <c r="K47" i="93"/>
  <c r="K44" i="93"/>
  <c r="K43" i="93"/>
  <c r="K27" i="93"/>
  <c r="K52" i="93"/>
  <c r="K40" i="93" l="1"/>
  <c r="K63" i="93"/>
  <c r="K59" i="93"/>
  <c r="K46" i="93"/>
  <c r="K45" i="93"/>
  <c r="K39" i="93"/>
  <c r="K18" i="93"/>
  <c r="K10" i="93"/>
  <c r="K3" i="93"/>
  <c r="K62" i="93"/>
  <c r="K66" i="93"/>
  <c r="K53" i="93"/>
  <c r="K48" i="93"/>
  <c r="K6" i="93"/>
  <c r="K4" i="93" l="1"/>
  <c r="K35" i="93" l="1"/>
  <c r="K31" i="93"/>
  <c r="K28" i="93"/>
  <c r="K26" i="93" l="1"/>
  <c r="K25" i="93"/>
  <c r="K22" i="93" l="1"/>
  <c r="K19" i="93"/>
  <c r="K75" i="93" l="1"/>
  <c r="K69" i="93"/>
  <c r="K51" i="93"/>
  <c r="K5" i="93"/>
  <c r="K23" i="93"/>
  <c r="K24" i="93"/>
  <c r="F4" i="87"/>
  <c r="K37" i="93"/>
  <c r="K76" i="92"/>
  <c r="K75" i="92"/>
  <c r="K74" i="92"/>
  <c r="K73" i="92"/>
  <c r="K72" i="92"/>
  <c r="K71" i="92"/>
  <c r="K70" i="92"/>
  <c r="K69" i="92"/>
  <c r="K68" i="92"/>
  <c r="K67" i="92"/>
  <c r="K66" i="92"/>
  <c r="K65" i="92"/>
  <c r="K57" i="93"/>
  <c r="K55" i="93"/>
  <c r="K54" i="93"/>
  <c r="K49" i="93"/>
  <c r="K41" i="93"/>
  <c r="K38" i="93"/>
  <c r="K32" i="93"/>
  <c r="K30" i="93"/>
  <c r="K27" i="92"/>
  <c r="K21" i="93"/>
  <c r="K15" i="93"/>
  <c r="K13" i="93"/>
  <c r="K8" i="93"/>
  <c r="F80" i="93"/>
  <c r="D80" i="93"/>
  <c r="B80" i="93"/>
  <c r="J78" i="93"/>
  <c r="E78" i="93"/>
  <c r="E79" i="93" s="1"/>
  <c r="S77" i="93"/>
  <c r="G77" i="93"/>
  <c r="S76" i="93"/>
  <c r="K76" i="93"/>
  <c r="G76" i="93"/>
  <c r="S75" i="93"/>
  <c r="G75" i="93"/>
  <c r="S74" i="93"/>
  <c r="G74" i="93"/>
  <c r="S73" i="93"/>
  <c r="G73" i="93"/>
  <c r="S72" i="93"/>
  <c r="G72" i="93"/>
  <c r="S71" i="93"/>
  <c r="G71" i="93"/>
  <c r="S70" i="93"/>
  <c r="T70" i="93" s="1"/>
  <c r="G70" i="93"/>
  <c r="S69" i="93"/>
  <c r="G69" i="93"/>
  <c r="S68" i="93"/>
  <c r="G68" i="93"/>
  <c r="S67" i="93"/>
  <c r="T67" i="93" s="1"/>
  <c r="K67" i="93"/>
  <c r="G67" i="93"/>
  <c r="S66" i="93"/>
  <c r="G66" i="93"/>
  <c r="S65" i="93"/>
  <c r="G65" i="93"/>
  <c r="S64" i="93"/>
  <c r="K64" i="93"/>
  <c r="G64" i="93"/>
  <c r="S63" i="93"/>
  <c r="G63" i="93"/>
  <c r="S62" i="93"/>
  <c r="G62" i="93"/>
  <c r="S61" i="93"/>
  <c r="K61" i="93"/>
  <c r="G61" i="93"/>
  <c r="S60" i="93"/>
  <c r="G60" i="93"/>
  <c r="S59" i="93"/>
  <c r="G59" i="93"/>
  <c r="S58" i="93"/>
  <c r="G58" i="93"/>
  <c r="S57" i="93"/>
  <c r="G57" i="93"/>
  <c r="S56" i="93"/>
  <c r="G56" i="93"/>
  <c r="S55" i="93"/>
  <c r="G55" i="93"/>
  <c r="S54" i="93"/>
  <c r="G54" i="93"/>
  <c r="S53" i="93"/>
  <c r="G53" i="93"/>
  <c r="S52" i="93"/>
  <c r="G52" i="93"/>
  <c r="S51" i="93"/>
  <c r="G51" i="93"/>
  <c r="S50" i="93"/>
  <c r="G50" i="93"/>
  <c r="S49" i="93"/>
  <c r="G49" i="93"/>
  <c r="S48" i="93"/>
  <c r="G48" i="93"/>
  <c r="S47" i="93"/>
  <c r="G47" i="93"/>
  <c r="S46" i="93"/>
  <c r="G46" i="93"/>
  <c r="S45" i="93"/>
  <c r="G45" i="93"/>
  <c r="S44" i="93"/>
  <c r="G44" i="93"/>
  <c r="S43" i="93"/>
  <c r="G43" i="93"/>
  <c r="S42" i="93"/>
  <c r="G42" i="93"/>
  <c r="S41" i="93"/>
  <c r="S40" i="93"/>
  <c r="G40" i="93"/>
  <c r="S39" i="93"/>
  <c r="G39" i="93"/>
  <c r="S38" i="93"/>
  <c r="G38" i="93"/>
  <c r="S37" i="93"/>
  <c r="G37" i="93"/>
  <c r="S36" i="93"/>
  <c r="G36" i="93"/>
  <c r="S35" i="93"/>
  <c r="G35" i="93"/>
  <c r="S34" i="93"/>
  <c r="G34" i="93"/>
  <c r="S33" i="93"/>
  <c r="G33" i="93"/>
  <c r="S32" i="93"/>
  <c r="T32" i="93" s="1"/>
  <c r="G32" i="93"/>
  <c r="S31" i="93"/>
  <c r="G31" i="93"/>
  <c r="S30" i="93"/>
  <c r="G30" i="93"/>
  <c r="S29" i="93"/>
  <c r="T29" i="93" s="1"/>
  <c r="G29" i="93"/>
  <c r="S28" i="93"/>
  <c r="G28" i="93"/>
  <c r="S27" i="93"/>
  <c r="G27" i="93"/>
  <c r="S26" i="93"/>
  <c r="G26" i="93"/>
  <c r="S25" i="93"/>
  <c r="G25" i="93"/>
  <c r="S24" i="93"/>
  <c r="G24" i="93"/>
  <c r="S23" i="93"/>
  <c r="G23" i="93"/>
  <c r="S22" i="93"/>
  <c r="G22" i="93"/>
  <c r="S21" i="93"/>
  <c r="G21" i="93"/>
  <c r="S20" i="93"/>
  <c r="G20" i="93"/>
  <c r="S19" i="93"/>
  <c r="G19" i="93"/>
  <c r="S18" i="93"/>
  <c r="G18" i="93"/>
  <c r="S17" i="93"/>
  <c r="G17" i="93"/>
  <c r="S16" i="93"/>
  <c r="G16" i="93"/>
  <c r="S15" i="93"/>
  <c r="G15" i="93"/>
  <c r="S14" i="93"/>
  <c r="G14" i="93"/>
  <c r="S13" i="93"/>
  <c r="G13" i="93"/>
  <c r="S12" i="93"/>
  <c r="G12" i="93"/>
  <c r="S11" i="93"/>
  <c r="G11" i="93"/>
  <c r="S10" i="93"/>
  <c r="G10" i="93"/>
  <c r="S9" i="93"/>
  <c r="G9" i="93"/>
  <c r="S8" i="93"/>
  <c r="G8" i="93"/>
  <c r="S7" i="93"/>
  <c r="G7" i="93"/>
  <c r="S6" i="93"/>
  <c r="G6" i="93"/>
  <c r="S5" i="93"/>
  <c r="G5" i="93"/>
  <c r="S4" i="93"/>
  <c r="G4" i="93"/>
  <c r="S3" i="93"/>
  <c r="G3" i="93"/>
  <c r="K40" i="92"/>
  <c r="K11" i="92"/>
  <c r="K4" i="92"/>
  <c r="K41" i="92"/>
  <c r="K36" i="92"/>
  <c r="K53" i="92"/>
  <c r="T5" i="93" l="1"/>
  <c r="T35" i="93"/>
  <c r="T44" i="93"/>
  <c r="T50" i="93"/>
  <c r="T56" i="93"/>
  <c r="T41" i="93"/>
  <c r="T53" i="93"/>
  <c r="T26" i="93"/>
  <c r="T65" i="93"/>
  <c r="T23" i="93"/>
  <c r="T6" i="93"/>
  <c r="T12" i="93"/>
  <c r="T24" i="93"/>
  <c r="T68" i="93"/>
  <c r="T19" i="93"/>
  <c r="T13" i="93"/>
  <c r="T43" i="93"/>
  <c r="T77" i="93"/>
  <c r="T25" i="93"/>
  <c r="T74" i="93"/>
  <c r="T73" i="93"/>
  <c r="T71" i="93"/>
  <c r="T59" i="93"/>
  <c r="T55" i="93"/>
  <c r="T52" i="93"/>
  <c r="T49" i="93"/>
  <c r="T47" i="93"/>
  <c r="T46" i="93"/>
  <c r="T38" i="93"/>
  <c r="T21" i="93"/>
  <c r="T20" i="93"/>
  <c r="T18" i="93"/>
  <c r="T15" i="93"/>
  <c r="T9" i="93"/>
  <c r="T3" i="93"/>
  <c r="T11" i="93"/>
  <c r="T62" i="93"/>
  <c r="T64" i="93"/>
  <c r="T16" i="93"/>
  <c r="T30" i="93"/>
  <c r="T36" i="93"/>
  <c r="T48" i="93"/>
  <c r="T28" i="93"/>
  <c r="T58" i="93"/>
  <c r="T76" i="93"/>
  <c r="I80" i="93"/>
  <c r="T17" i="93"/>
  <c r="T57" i="93"/>
  <c r="T75" i="93"/>
  <c r="T61" i="93"/>
  <c r="T27" i="93"/>
  <c r="T4" i="93"/>
  <c r="T8" i="93"/>
  <c r="T33" i="93"/>
  <c r="T37" i="93"/>
  <c r="T66" i="93"/>
  <c r="T22" i="93"/>
  <c r="T39" i="93"/>
  <c r="T10" i="93"/>
  <c r="T14" i="93"/>
  <c r="T34" i="93"/>
  <c r="T45" i="93"/>
  <c r="T54" i="93"/>
  <c r="T63" i="93"/>
  <c r="T72" i="93"/>
  <c r="T7" i="93"/>
  <c r="T31" i="93"/>
  <c r="T40" i="93"/>
  <c r="T42" i="93"/>
  <c r="T51" i="93"/>
  <c r="T60" i="93"/>
  <c r="T69" i="93"/>
  <c r="K80" i="93"/>
  <c r="K48" i="92" l="1"/>
  <c r="K18" i="92" l="1"/>
  <c r="K20" i="92"/>
  <c r="K77" i="92"/>
  <c r="K46" i="92"/>
  <c r="K17" i="92"/>
  <c r="K16" i="92"/>
  <c r="K60" i="92"/>
  <c r="K45" i="92"/>
  <c r="K7" i="92"/>
  <c r="K3" i="92"/>
  <c r="K9" i="92"/>
  <c r="K24" i="92" l="1"/>
  <c r="K14" i="92"/>
  <c r="K5" i="92"/>
  <c r="K59" i="92"/>
  <c r="K51" i="92"/>
  <c r="K49" i="92"/>
  <c r="K47" i="92"/>
  <c r="K52" i="92"/>
  <c r="K50" i="92"/>
  <c r="K23" i="92"/>
  <c r="K63" i="92"/>
  <c r="K39" i="92"/>
  <c r="K38" i="92"/>
  <c r="K35" i="92"/>
  <c r="K34" i="92"/>
  <c r="K32" i="92"/>
  <c r="K31" i="92" l="1"/>
  <c r="K26" i="92"/>
  <c r="K25" i="92"/>
  <c r="K19" i="92"/>
  <c r="K54" i="92"/>
  <c r="K42" i="92"/>
  <c r="K33" i="92" l="1"/>
  <c r="K12" i="92"/>
  <c r="K55" i="92"/>
  <c r="K44" i="92"/>
  <c r="K43" i="92"/>
  <c r="K6" i="92"/>
  <c r="K28" i="92"/>
  <c r="K22" i="92"/>
  <c r="K10" i="92"/>
  <c r="K56" i="92"/>
  <c r="S48" i="92"/>
  <c r="G48" i="92"/>
  <c r="K62" i="92"/>
  <c r="K15" i="92"/>
  <c r="T48" i="92" l="1"/>
  <c r="F80" i="92"/>
  <c r="D80" i="92"/>
  <c r="B80" i="92"/>
  <c r="E78" i="92"/>
  <c r="E79" i="92" s="1"/>
  <c r="S77" i="92"/>
  <c r="T77" i="92" s="1"/>
  <c r="G77" i="92"/>
  <c r="S76" i="92"/>
  <c r="G76" i="92"/>
  <c r="S75" i="92"/>
  <c r="T75" i="92" s="1"/>
  <c r="G75" i="92"/>
  <c r="S74" i="92"/>
  <c r="T74" i="92" s="1"/>
  <c r="G74" i="92"/>
  <c r="S73" i="92"/>
  <c r="G73" i="92"/>
  <c r="S72" i="92"/>
  <c r="T72" i="92" s="1"/>
  <c r="G72" i="92"/>
  <c r="S71" i="92"/>
  <c r="T71" i="92" s="1"/>
  <c r="G71" i="92"/>
  <c r="S70" i="92"/>
  <c r="T70" i="92" s="1"/>
  <c r="G70" i="92"/>
  <c r="S69" i="92"/>
  <c r="T69" i="92" s="1"/>
  <c r="G69" i="92"/>
  <c r="S68" i="92"/>
  <c r="T68" i="92" s="1"/>
  <c r="G68" i="92"/>
  <c r="S67" i="92"/>
  <c r="T67" i="92" s="1"/>
  <c r="G67" i="92"/>
  <c r="S66" i="92"/>
  <c r="G66" i="92"/>
  <c r="S65" i="92"/>
  <c r="G65" i="92"/>
  <c r="S64" i="92"/>
  <c r="K64" i="92"/>
  <c r="G64" i="92"/>
  <c r="S63" i="92"/>
  <c r="G63" i="92"/>
  <c r="S62" i="92"/>
  <c r="G62" i="92"/>
  <c r="S61" i="92"/>
  <c r="K61" i="92"/>
  <c r="G61" i="92"/>
  <c r="S60" i="92"/>
  <c r="T60" i="92" s="1"/>
  <c r="G60" i="92"/>
  <c r="S59" i="92"/>
  <c r="T59" i="92" s="1"/>
  <c r="G59" i="92"/>
  <c r="S58" i="92"/>
  <c r="K58" i="92"/>
  <c r="G58" i="92"/>
  <c r="S57" i="92"/>
  <c r="K57" i="92"/>
  <c r="G57" i="92"/>
  <c r="S56" i="92"/>
  <c r="G56" i="92"/>
  <c r="S55" i="92"/>
  <c r="T55" i="92" s="1"/>
  <c r="G55" i="92"/>
  <c r="S54" i="92"/>
  <c r="G54" i="92"/>
  <c r="S53" i="92"/>
  <c r="G53" i="92"/>
  <c r="S52" i="92"/>
  <c r="T52" i="92" s="1"/>
  <c r="G52" i="92"/>
  <c r="S51" i="92"/>
  <c r="G51" i="92"/>
  <c r="S50" i="92"/>
  <c r="G50" i="92"/>
  <c r="S49" i="92"/>
  <c r="T49" i="92" s="1"/>
  <c r="G49" i="92"/>
  <c r="S47" i="92"/>
  <c r="G47" i="92"/>
  <c r="S46" i="92"/>
  <c r="G46" i="92"/>
  <c r="S45" i="92"/>
  <c r="T45" i="92" s="1"/>
  <c r="G45" i="92"/>
  <c r="S44" i="92"/>
  <c r="G44" i="92"/>
  <c r="S43" i="92"/>
  <c r="G43" i="92"/>
  <c r="S42" i="92"/>
  <c r="T42" i="92" s="1"/>
  <c r="G42" i="92"/>
  <c r="S41" i="92"/>
  <c r="T41" i="92" s="1"/>
  <c r="S40" i="92"/>
  <c r="G40" i="92"/>
  <c r="S39" i="92"/>
  <c r="G39" i="92"/>
  <c r="S38" i="92"/>
  <c r="G38" i="92"/>
  <c r="S37" i="92"/>
  <c r="K37" i="92"/>
  <c r="G37" i="92"/>
  <c r="S36" i="92"/>
  <c r="G36" i="92"/>
  <c r="S35" i="92"/>
  <c r="T35" i="92" s="1"/>
  <c r="G35" i="92"/>
  <c r="S34" i="92"/>
  <c r="G34" i="92"/>
  <c r="S33" i="92"/>
  <c r="G33" i="92"/>
  <c r="S32" i="92"/>
  <c r="T32" i="92" s="1"/>
  <c r="G32" i="92"/>
  <c r="S31" i="92"/>
  <c r="G31" i="92"/>
  <c r="S30" i="92"/>
  <c r="K30" i="92"/>
  <c r="G30" i="92"/>
  <c r="S29" i="92"/>
  <c r="T29" i="92" s="1"/>
  <c r="G29" i="92"/>
  <c r="S28" i="92"/>
  <c r="T28" i="92" s="1"/>
  <c r="G28" i="92"/>
  <c r="S27" i="92"/>
  <c r="G27" i="92"/>
  <c r="S26" i="92"/>
  <c r="G26" i="92"/>
  <c r="S25" i="92"/>
  <c r="G25" i="92"/>
  <c r="S24" i="92"/>
  <c r="G24" i="92"/>
  <c r="S23" i="92"/>
  <c r="G23" i="92"/>
  <c r="S22" i="92"/>
  <c r="T22" i="92" s="1"/>
  <c r="G22" i="92"/>
  <c r="S21" i="92"/>
  <c r="K21" i="92"/>
  <c r="G21" i="92"/>
  <c r="S20" i="92"/>
  <c r="G20" i="92"/>
  <c r="S19" i="92"/>
  <c r="G19" i="92"/>
  <c r="S18" i="92"/>
  <c r="G18" i="92"/>
  <c r="S17" i="92"/>
  <c r="T17" i="92" s="1"/>
  <c r="G17" i="92"/>
  <c r="S16" i="92"/>
  <c r="G16" i="92"/>
  <c r="S15" i="92"/>
  <c r="G15" i="92"/>
  <c r="S14" i="92"/>
  <c r="T14" i="92" s="1"/>
  <c r="G14" i="92"/>
  <c r="S13" i="92"/>
  <c r="T13" i="92" s="1"/>
  <c r="G13" i="92"/>
  <c r="S12" i="92"/>
  <c r="G12" i="92"/>
  <c r="S11" i="92"/>
  <c r="G11" i="92"/>
  <c r="S10" i="92"/>
  <c r="T10" i="92" s="1"/>
  <c r="G10" i="92"/>
  <c r="S9" i="92"/>
  <c r="G9" i="92"/>
  <c r="S8" i="92"/>
  <c r="K8" i="92"/>
  <c r="G8" i="92"/>
  <c r="S7" i="92"/>
  <c r="G7" i="92"/>
  <c r="S6" i="92"/>
  <c r="G6" i="92"/>
  <c r="S5" i="92"/>
  <c r="T5" i="92" s="1"/>
  <c r="G5" i="92"/>
  <c r="S4" i="92"/>
  <c r="T4" i="92" s="1"/>
  <c r="J78" i="92"/>
  <c r="G4" i="92"/>
  <c r="S3" i="92"/>
  <c r="T3" i="92" s="1"/>
  <c r="G3" i="92"/>
  <c r="K11" i="91"/>
  <c r="K76" i="91"/>
  <c r="K28" i="91"/>
  <c r="K50" i="91"/>
  <c r="K34" i="91"/>
  <c r="K24" i="91"/>
  <c r="K37" i="91"/>
  <c r="K59" i="91"/>
  <c r="F79" i="91"/>
  <c r="D79" i="91"/>
  <c r="B79" i="91"/>
  <c r="J77" i="91"/>
  <c r="E77" i="91"/>
  <c r="E78" i="91" s="1"/>
  <c r="S76" i="91"/>
  <c r="T76" i="91"/>
  <c r="G76" i="91"/>
  <c r="S75" i="91"/>
  <c r="K75" i="91"/>
  <c r="G75" i="91"/>
  <c r="S74" i="91"/>
  <c r="T74" i="91" s="1"/>
  <c r="K74" i="91"/>
  <c r="G74" i="91"/>
  <c r="S73" i="91"/>
  <c r="T73" i="91" s="1"/>
  <c r="K73" i="91"/>
  <c r="G73" i="91"/>
  <c r="S72" i="91"/>
  <c r="T72" i="91" s="1"/>
  <c r="K72" i="91"/>
  <c r="G72" i="91"/>
  <c r="S71" i="91"/>
  <c r="T71" i="91" s="1"/>
  <c r="K71" i="91"/>
  <c r="G71" i="91"/>
  <c r="S70" i="91"/>
  <c r="T70" i="91" s="1"/>
  <c r="K70" i="91"/>
  <c r="G70" i="91"/>
  <c r="S69" i="91"/>
  <c r="T69" i="91" s="1"/>
  <c r="K69" i="91"/>
  <c r="G69" i="91"/>
  <c r="S68" i="91"/>
  <c r="T68" i="91" s="1"/>
  <c r="K68" i="91"/>
  <c r="G68" i="91"/>
  <c r="S67" i="91"/>
  <c r="T67" i="91" s="1"/>
  <c r="K67" i="91"/>
  <c r="G67" i="91"/>
  <c r="S66" i="91"/>
  <c r="G66" i="91"/>
  <c r="S65" i="91"/>
  <c r="T65" i="91" s="1"/>
  <c r="K65" i="91"/>
  <c r="G65" i="91"/>
  <c r="S64" i="91"/>
  <c r="T64" i="91" s="1"/>
  <c r="K64" i="91"/>
  <c r="G64" i="91"/>
  <c r="S63" i="91"/>
  <c r="K63" i="91"/>
  <c r="G63" i="91"/>
  <c r="S62" i="91"/>
  <c r="K62" i="91"/>
  <c r="T62" i="91" s="1"/>
  <c r="G62" i="91"/>
  <c r="S61" i="91"/>
  <c r="T61" i="91" s="1"/>
  <c r="K61" i="91"/>
  <c r="G61" i="91"/>
  <c r="S60" i="91"/>
  <c r="K60" i="91"/>
  <c r="T60" i="91" s="1"/>
  <c r="G60" i="91"/>
  <c r="S59" i="91"/>
  <c r="G59" i="91"/>
  <c r="S58" i="91"/>
  <c r="T58" i="91" s="1"/>
  <c r="K58" i="91"/>
  <c r="G58" i="91"/>
  <c r="S57" i="91"/>
  <c r="K57" i="91"/>
  <c r="G57" i="91"/>
  <c r="S56" i="91"/>
  <c r="K56" i="91"/>
  <c r="G56" i="91"/>
  <c r="S55" i="91"/>
  <c r="T55" i="91" s="1"/>
  <c r="K55" i="91"/>
  <c r="G55" i="91"/>
  <c r="S54" i="91"/>
  <c r="T54" i="91" s="1"/>
  <c r="K54" i="91"/>
  <c r="G54" i="91"/>
  <c r="S53" i="91"/>
  <c r="K53" i="91"/>
  <c r="T53" i="91" s="1"/>
  <c r="G53" i="91"/>
  <c r="S52" i="91"/>
  <c r="T52" i="91" s="1"/>
  <c r="K52" i="91"/>
  <c r="G52" i="91"/>
  <c r="S51" i="91"/>
  <c r="K51" i="91"/>
  <c r="G51" i="91"/>
  <c r="S50" i="91"/>
  <c r="G50" i="91"/>
  <c r="S49" i="91"/>
  <c r="T49" i="91" s="1"/>
  <c r="K49" i="91"/>
  <c r="G49" i="91"/>
  <c r="S48" i="91"/>
  <c r="T48" i="91" s="1"/>
  <c r="K48" i="91"/>
  <c r="G48" i="91"/>
  <c r="S47" i="91"/>
  <c r="T47" i="91" s="1"/>
  <c r="K47" i="91"/>
  <c r="G47" i="91"/>
  <c r="S46" i="91"/>
  <c r="T46" i="91" s="1"/>
  <c r="K46" i="91"/>
  <c r="G46" i="91"/>
  <c r="S45" i="91"/>
  <c r="T45" i="91" s="1"/>
  <c r="K45" i="91"/>
  <c r="G45" i="91"/>
  <c r="S44" i="91"/>
  <c r="T44" i="91" s="1"/>
  <c r="K44" i="91"/>
  <c r="G44" i="91"/>
  <c r="S43" i="91"/>
  <c r="T43" i="91" s="1"/>
  <c r="K43" i="91"/>
  <c r="G43" i="91"/>
  <c r="S42" i="91"/>
  <c r="T42" i="91" s="1"/>
  <c r="K42" i="91"/>
  <c r="G42" i="91"/>
  <c r="S41" i="91"/>
  <c r="T41" i="91" s="1"/>
  <c r="K41" i="91"/>
  <c r="S40" i="91"/>
  <c r="T40" i="91" s="1"/>
  <c r="K40" i="91"/>
  <c r="G40" i="91"/>
  <c r="S39" i="91"/>
  <c r="K39" i="91"/>
  <c r="T39" i="91" s="1"/>
  <c r="G39" i="91"/>
  <c r="S38" i="91"/>
  <c r="K38" i="91"/>
  <c r="G38" i="91"/>
  <c r="S37" i="91"/>
  <c r="T37" i="91"/>
  <c r="G37" i="91"/>
  <c r="S36" i="91"/>
  <c r="T36" i="91" s="1"/>
  <c r="K36" i="91"/>
  <c r="G36" i="91"/>
  <c r="S35" i="91"/>
  <c r="K35" i="91"/>
  <c r="G35" i="91"/>
  <c r="S34" i="91"/>
  <c r="T34" i="91" s="1"/>
  <c r="G34" i="91"/>
  <c r="S33" i="91"/>
  <c r="T33" i="91" s="1"/>
  <c r="K33" i="91"/>
  <c r="G33" i="91"/>
  <c r="S32" i="91"/>
  <c r="K32" i="91"/>
  <c r="G32" i="91"/>
  <c r="S31" i="91"/>
  <c r="K31" i="91"/>
  <c r="T31" i="91" s="1"/>
  <c r="G31" i="91"/>
  <c r="S30" i="91"/>
  <c r="T30" i="91" s="1"/>
  <c r="K30" i="91"/>
  <c r="G30" i="91"/>
  <c r="S29" i="91"/>
  <c r="G29" i="91"/>
  <c r="S28" i="91"/>
  <c r="T28" i="91"/>
  <c r="G28" i="91"/>
  <c r="S27" i="91"/>
  <c r="T27" i="91" s="1"/>
  <c r="K27" i="91"/>
  <c r="G27" i="91"/>
  <c r="S26" i="91"/>
  <c r="K26" i="91"/>
  <c r="G26" i="91"/>
  <c r="S25" i="91"/>
  <c r="K25" i="91"/>
  <c r="T25" i="91" s="1"/>
  <c r="G25" i="91"/>
  <c r="S24" i="91"/>
  <c r="T24" i="91"/>
  <c r="G24" i="91"/>
  <c r="S23" i="91"/>
  <c r="T23" i="91" s="1"/>
  <c r="K23" i="91"/>
  <c r="G23" i="91"/>
  <c r="S22" i="91"/>
  <c r="T22" i="91" s="1"/>
  <c r="K22" i="91"/>
  <c r="G22" i="91"/>
  <c r="S21" i="91"/>
  <c r="T21" i="91" s="1"/>
  <c r="K21" i="91"/>
  <c r="G21" i="91"/>
  <c r="S20" i="91"/>
  <c r="T20" i="91" s="1"/>
  <c r="K20" i="91"/>
  <c r="G20" i="91"/>
  <c r="S19" i="91"/>
  <c r="K19" i="91"/>
  <c r="T19" i="91" s="1"/>
  <c r="G19" i="91"/>
  <c r="S18" i="91"/>
  <c r="T18" i="91" s="1"/>
  <c r="K18" i="91"/>
  <c r="J18" i="91"/>
  <c r="G18" i="91"/>
  <c r="S17" i="91"/>
  <c r="T17" i="91" s="1"/>
  <c r="K17" i="91"/>
  <c r="G17" i="91"/>
  <c r="S16" i="91"/>
  <c r="T16" i="91" s="1"/>
  <c r="K16" i="91"/>
  <c r="G16" i="91"/>
  <c r="S15" i="91"/>
  <c r="K15" i="91"/>
  <c r="G15" i="91"/>
  <c r="S14" i="91"/>
  <c r="T14" i="91" s="1"/>
  <c r="K14" i="91"/>
  <c r="G14" i="91"/>
  <c r="S13" i="91"/>
  <c r="T13" i="91" s="1"/>
  <c r="G13" i="91"/>
  <c r="S12" i="91"/>
  <c r="T12" i="91" s="1"/>
  <c r="K12" i="91"/>
  <c r="G12" i="91"/>
  <c r="S11" i="91"/>
  <c r="T11" i="91" s="1"/>
  <c r="G11" i="91"/>
  <c r="S10" i="91"/>
  <c r="T10" i="91" s="1"/>
  <c r="K10" i="91"/>
  <c r="G10" i="91"/>
  <c r="S9" i="91"/>
  <c r="T9" i="91" s="1"/>
  <c r="K9" i="91"/>
  <c r="G9" i="91"/>
  <c r="S8" i="91"/>
  <c r="K8" i="91"/>
  <c r="G8" i="91"/>
  <c r="S7" i="91"/>
  <c r="K7" i="91"/>
  <c r="G7" i="91"/>
  <c r="S6" i="91"/>
  <c r="K6" i="91"/>
  <c r="T6" i="91" s="1"/>
  <c r="J6" i="91"/>
  <c r="G6" i="91"/>
  <c r="S5" i="91"/>
  <c r="T5" i="91" s="1"/>
  <c r="K5" i="91"/>
  <c r="G5" i="91"/>
  <c r="S4" i="91"/>
  <c r="T4" i="91" s="1"/>
  <c r="K4" i="91"/>
  <c r="J4" i="91"/>
  <c r="G4" i="91"/>
  <c r="S3" i="91"/>
  <c r="T3" i="91" s="1"/>
  <c r="K3" i="91"/>
  <c r="G3" i="91"/>
  <c r="K79" i="90"/>
  <c r="I79" i="90"/>
  <c r="F79" i="90"/>
  <c r="D79" i="90"/>
  <c r="B79" i="90"/>
  <c r="E78" i="90"/>
  <c r="J77" i="90"/>
  <c r="E77" i="90"/>
  <c r="T76" i="90"/>
  <c r="S76" i="90"/>
  <c r="K76" i="90"/>
  <c r="G76" i="90"/>
  <c r="T75" i="90"/>
  <c r="S75" i="90"/>
  <c r="K75" i="90"/>
  <c r="G75" i="90"/>
  <c r="T74" i="90"/>
  <c r="S74" i="90"/>
  <c r="G74" i="90"/>
  <c r="T73" i="90"/>
  <c r="S73" i="90"/>
  <c r="K73" i="90"/>
  <c r="G73" i="90"/>
  <c r="T72" i="90"/>
  <c r="S72" i="90"/>
  <c r="K72" i="90"/>
  <c r="G72" i="90"/>
  <c r="T71" i="90"/>
  <c r="S71" i="90"/>
  <c r="K71" i="90"/>
  <c r="G71" i="90"/>
  <c r="T70" i="90"/>
  <c r="S70" i="90"/>
  <c r="K70" i="90"/>
  <c r="G70" i="90"/>
  <c r="T69" i="90"/>
  <c r="S69" i="90"/>
  <c r="K69" i="90"/>
  <c r="G69" i="90"/>
  <c r="T68" i="90"/>
  <c r="S68" i="90"/>
  <c r="K68" i="90"/>
  <c r="G68" i="90"/>
  <c r="T67" i="90"/>
  <c r="S67" i="90"/>
  <c r="K67" i="90"/>
  <c r="G67" i="90"/>
  <c r="T66" i="90"/>
  <c r="S66" i="90"/>
  <c r="K66" i="90"/>
  <c r="G66" i="90"/>
  <c r="T65" i="90"/>
  <c r="S65" i="90"/>
  <c r="K65" i="90"/>
  <c r="G65" i="90"/>
  <c r="T64" i="90"/>
  <c r="S64" i="90"/>
  <c r="K64" i="90"/>
  <c r="G64" i="90"/>
  <c r="T63" i="90"/>
  <c r="S63" i="90"/>
  <c r="K63" i="90"/>
  <c r="G63" i="90"/>
  <c r="T62" i="90"/>
  <c r="S62" i="90"/>
  <c r="K62" i="90"/>
  <c r="G62" i="90"/>
  <c r="T61" i="90"/>
  <c r="S61" i="90"/>
  <c r="K61" i="90"/>
  <c r="G61" i="90"/>
  <c r="T60" i="90"/>
  <c r="S60" i="90"/>
  <c r="K60" i="90"/>
  <c r="G60" i="90"/>
  <c r="T59" i="90"/>
  <c r="S59" i="90"/>
  <c r="K59" i="90"/>
  <c r="G59" i="90"/>
  <c r="T58" i="90"/>
  <c r="S58" i="90"/>
  <c r="K58" i="90"/>
  <c r="G58" i="90"/>
  <c r="T57" i="90"/>
  <c r="S57" i="90"/>
  <c r="K57" i="90"/>
  <c r="G57" i="90"/>
  <c r="T56" i="90"/>
  <c r="S56" i="90"/>
  <c r="K56" i="90"/>
  <c r="G56" i="90"/>
  <c r="T55" i="90"/>
  <c r="S55" i="90"/>
  <c r="K55" i="90"/>
  <c r="G55" i="90"/>
  <c r="T54" i="90"/>
  <c r="S54" i="90"/>
  <c r="K54" i="90"/>
  <c r="G54" i="90"/>
  <c r="T53" i="90"/>
  <c r="S53" i="90"/>
  <c r="K53" i="90"/>
  <c r="G53" i="90"/>
  <c r="T52" i="90"/>
  <c r="S52" i="90"/>
  <c r="K52" i="90"/>
  <c r="G52" i="90"/>
  <c r="T51" i="90"/>
  <c r="S51" i="90"/>
  <c r="K51" i="90"/>
  <c r="G51" i="90"/>
  <c r="T50" i="90"/>
  <c r="S50" i="90"/>
  <c r="K50" i="90"/>
  <c r="G50" i="90"/>
  <c r="T49" i="90"/>
  <c r="S49" i="90"/>
  <c r="K49" i="90"/>
  <c r="G49" i="90"/>
  <c r="T48" i="90"/>
  <c r="S48" i="90"/>
  <c r="K48" i="90"/>
  <c r="G48" i="90"/>
  <c r="T47" i="90"/>
  <c r="S47" i="90"/>
  <c r="K47" i="90"/>
  <c r="G47" i="90"/>
  <c r="T46" i="90"/>
  <c r="S46" i="90"/>
  <c r="K46" i="90"/>
  <c r="G46" i="90"/>
  <c r="T45" i="90"/>
  <c r="S45" i="90"/>
  <c r="K45" i="90"/>
  <c r="G45" i="90"/>
  <c r="T44" i="90"/>
  <c r="S44" i="90"/>
  <c r="K44" i="90"/>
  <c r="G44" i="90"/>
  <c r="T43" i="90"/>
  <c r="S43" i="90"/>
  <c r="K43" i="90"/>
  <c r="G43" i="90"/>
  <c r="T42" i="90"/>
  <c r="S42" i="90"/>
  <c r="K42" i="90"/>
  <c r="G42" i="90"/>
  <c r="T41" i="90"/>
  <c r="S41" i="90"/>
  <c r="K41" i="90"/>
  <c r="T40" i="90"/>
  <c r="S40" i="90"/>
  <c r="K40" i="90"/>
  <c r="G40" i="90"/>
  <c r="T39" i="90"/>
  <c r="S39" i="90"/>
  <c r="K39" i="90"/>
  <c r="G39" i="90"/>
  <c r="T38" i="90"/>
  <c r="S38" i="90"/>
  <c r="K38" i="90"/>
  <c r="G38" i="90"/>
  <c r="T37" i="90"/>
  <c r="S37" i="90"/>
  <c r="K37" i="90"/>
  <c r="G37" i="90"/>
  <c r="T36" i="90"/>
  <c r="S36" i="90"/>
  <c r="K36" i="90"/>
  <c r="G36" i="90"/>
  <c r="T35" i="90"/>
  <c r="S35" i="90"/>
  <c r="K35" i="90"/>
  <c r="G35" i="90"/>
  <c r="T34" i="90"/>
  <c r="S34" i="90"/>
  <c r="K34" i="90"/>
  <c r="G34" i="90"/>
  <c r="T33" i="90"/>
  <c r="S33" i="90"/>
  <c r="K33" i="90"/>
  <c r="G33" i="90"/>
  <c r="T32" i="90"/>
  <c r="S32" i="90"/>
  <c r="K32" i="90"/>
  <c r="G32" i="90"/>
  <c r="T31" i="90"/>
  <c r="S31" i="90"/>
  <c r="K31" i="90"/>
  <c r="G31" i="90"/>
  <c r="T30" i="90"/>
  <c r="S30" i="90"/>
  <c r="K30" i="90"/>
  <c r="G30" i="90"/>
  <c r="T29" i="90"/>
  <c r="S29" i="90"/>
  <c r="K29" i="90"/>
  <c r="G29" i="90"/>
  <c r="T28" i="90"/>
  <c r="S28" i="90"/>
  <c r="K28" i="90"/>
  <c r="G28" i="90"/>
  <c r="T27" i="90"/>
  <c r="S27" i="90"/>
  <c r="K27" i="90"/>
  <c r="G27" i="90"/>
  <c r="T26" i="90"/>
  <c r="S26" i="90"/>
  <c r="K26" i="90"/>
  <c r="G26" i="90"/>
  <c r="T25" i="90"/>
  <c r="S25" i="90"/>
  <c r="K25" i="90"/>
  <c r="G25" i="90"/>
  <c r="T24" i="90"/>
  <c r="S24" i="90"/>
  <c r="K24" i="90"/>
  <c r="G24" i="90"/>
  <c r="T23" i="90"/>
  <c r="S23" i="90"/>
  <c r="K23" i="90"/>
  <c r="G23" i="90"/>
  <c r="T22" i="90"/>
  <c r="S22" i="90"/>
  <c r="K22" i="90"/>
  <c r="G22" i="90"/>
  <c r="T21" i="90"/>
  <c r="S21" i="90"/>
  <c r="K21" i="90"/>
  <c r="G21" i="90"/>
  <c r="T20" i="90"/>
  <c r="S20" i="90"/>
  <c r="K20" i="90"/>
  <c r="G20" i="90"/>
  <c r="T19" i="90"/>
  <c r="S19" i="90"/>
  <c r="K19" i="90"/>
  <c r="G19" i="90"/>
  <c r="T18" i="90"/>
  <c r="S18" i="90"/>
  <c r="K18" i="90"/>
  <c r="J18" i="90"/>
  <c r="G18" i="90"/>
  <c r="T17" i="90"/>
  <c r="S17" i="90"/>
  <c r="K17" i="90"/>
  <c r="G17" i="90"/>
  <c r="T16" i="90"/>
  <c r="S16" i="90"/>
  <c r="K16" i="90"/>
  <c r="G16" i="90"/>
  <c r="T15" i="90"/>
  <c r="S15" i="90"/>
  <c r="K15" i="90"/>
  <c r="G15" i="90"/>
  <c r="T14" i="90"/>
  <c r="S14" i="90"/>
  <c r="K14" i="90"/>
  <c r="G14" i="90"/>
  <c r="T13" i="90"/>
  <c r="S13" i="90"/>
  <c r="K13" i="90"/>
  <c r="G13" i="90"/>
  <c r="T12" i="90"/>
  <c r="S12" i="90"/>
  <c r="K12" i="90"/>
  <c r="G12" i="90"/>
  <c r="T11" i="90"/>
  <c r="S11" i="90"/>
  <c r="K11" i="90"/>
  <c r="G11" i="90"/>
  <c r="T10" i="90"/>
  <c r="S10" i="90"/>
  <c r="K10" i="90"/>
  <c r="G10" i="90"/>
  <c r="T9" i="90"/>
  <c r="S9" i="90"/>
  <c r="K9" i="90"/>
  <c r="G9" i="90"/>
  <c r="T8" i="90"/>
  <c r="S8" i="90"/>
  <c r="K8" i="90"/>
  <c r="G8" i="90"/>
  <c r="T7" i="90"/>
  <c r="S7" i="90"/>
  <c r="K7" i="90"/>
  <c r="G7" i="90"/>
  <c r="T6" i="90"/>
  <c r="S6" i="90"/>
  <c r="K6" i="90"/>
  <c r="G6" i="90"/>
  <c r="T5" i="90"/>
  <c r="S5" i="90"/>
  <c r="K5" i="90"/>
  <c r="G5" i="90"/>
  <c r="T4" i="90"/>
  <c r="S4" i="90"/>
  <c r="K4" i="90"/>
  <c r="G4" i="90"/>
  <c r="T3" i="90"/>
  <c r="S3" i="90"/>
  <c r="K3" i="90"/>
  <c r="G3" i="90"/>
  <c r="K79" i="89"/>
  <c r="I79" i="89"/>
  <c r="F79" i="89"/>
  <c r="D79" i="89"/>
  <c r="B79" i="89"/>
  <c r="E78" i="89"/>
  <c r="J77" i="89"/>
  <c r="E77" i="89"/>
  <c r="T76" i="89"/>
  <c r="S76" i="89"/>
  <c r="K76" i="89"/>
  <c r="G76" i="89"/>
  <c r="T75" i="89"/>
  <c r="S75" i="89"/>
  <c r="K75" i="89"/>
  <c r="G75" i="89"/>
  <c r="T74" i="89"/>
  <c r="S74" i="89"/>
  <c r="K74" i="89"/>
  <c r="G74" i="89"/>
  <c r="T73" i="89"/>
  <c r="S73" i="89"/>
  <c r="K73" i="89"/>
  <c r="G73" i="89"/>
  <c r="T72" i="89"/>
  <c r="S72" i="89"/>
  <c r="K72" i="89"/>
  <c r="G72" i="89"/>
  <c r="T71" i="89"/>
  <c r="S71" i="89"/>
  <c r="K71" i="89"/>
  <c r="G71" i="89"/>
  <c r="T70" i="89"/>
  <c r="S70" i="89"/>
  <c r="K70" i="89"/>
  <c r="G70" i="89"/>
  <c r="T69" i="89"/>
  <c r="S69" i="89"/>
  <c r="K69" i="89"/>
  <c r="G69" i="89"/>
  <c r="T68" i="89"/>
  <c r="S68" i="89"/>
  <c r="K68" i="89"/>
  <c r="G68" i="89"/>
  <c r="T67" i="89"/>
  <c r="S67" i="89"/>
  <c r="K67" i="89"/>
  <c r="G67" i="89"/>
  <c r="T66" i="89"/>
  <c r="S66" i="89"/>
  <c r="K66" i="89"/>
  <c r="G66" i="89"/>
  <c r="T65" i="89"/>
  <c r="S65" i="89"/>
  <c r="K65" i="89"/>
  <c r="G65" i="89"/>
  <c r="T64" i="89"/>
  <c r="S64" i="89"/>
  <c r="K64" i="89"/>
  <c r="G64" i="89"/>
  <c r="T63" i="89"/>
  <c r="S63" i="89"/>
  <c r="K63" i="89"/>
  <c r="G63" i="89"/>
  <c r="T62" i="89"/>
  <c r="S62" i="89"/>
  <c r="K62" i="89"/>
  <c r="G62" i="89"/>
  <c r="T61" i="89"/>
  <c r="S61" i="89"/>
  <c r="K61" i="89"/>
  <c r="G61" i="89"/>
  <c r="T60" i="89"/>
  <c r="S60" i="89"/>
  <c r="K60" i="89"/>
  <c r="G60" i="89"/>
  <c r="T59" i="89"/>
  <c r="S59" i="89"/>
  <c r="K59" i="89"/>
  <c r="G59" i="89"/>
  <c r="T58" i="89"/>
  <c r="S58" i="89"/>
  <c r="K58" i="89"/>
  <c r="G58" i="89"/>
  <c r="T57" i="89"/>
  <c r="S57" i="89"/>
  <c r="K57" i="89"/>
  <c r="G57" i="89"/>
  <c r="T56" i="89"/>
  <c r="S56" i="89"/>
  <c r="K56" i="89"/>
  <c r="G56" i="89"/>
  <c r="T55" i="89"/>
  <c r="S55" i="89"/>
  <c r="K55" i="89"/>
  <c r="G55" i="89"/>
  <c r="T54" i="89"/>
  <c r="S54" i="89"/>
  <c r="K54" i="89"/>
  <c r="G54" i="89"/>
  <c r="T53" i="89"/>
  <c r="S53" i="89"/>
  <c r="K53" i="89"/>
  <c r="G53" i="89"/>
  <c r="T52" i="89"/>
  <c r="S52" i="89"/>
  <c r="K52" i="89"/>
  <c r="G52" i="89"/>
  <c r="T51" i="89"/>
  <c r="S51" i="89"/>
  <c r="K51" i="89"/>
  <c r="G51" i="89"/>
  <c r="T50" i="89"/>
  <c r="S50" i="89"/>
  <c r="K50" i="89"/>
  <c r="G50" i="89"/>
  <c r="T49" i="89"/>
  <c r="S49" i="89"/>
  <c r="K49" i="89"/>
  <c r="G49" i="89"/>
  <c r="T48" i="89"/>
  <c r="S48" i="89"/>
  <c r="K48" i="89"/>
  <c r="G48" i="89"/>
  <c r="T47" i="89"/>
  <c r="S47" i="89"/>
  <c r="K47" i="89"/>
  <c r="G47" i="89"/>
  <c r="T46" i="89"/>
  <c r="S46" i="89"/>
  <c r="K46" i="89"/>
  <c r="G46" i="89"/>
  <c r="T45" i="89"/>
  <c r="S45" i="89"/>
  <c r="K45" i="89"/>
  <c r="G45" i="89"/>
  <c r="T44" i="89"/>
  <c r="S44" i="89"/>
  <c r="K44" i="89"/>
  <c r="G44" i="89"/>
  <c r="T43" i="89"/>
  <c r="S43" i="89"/>
  <c r="K43" i="89"/>
  <c r="G43" i="89"/>
  <c r="T42" i="89"/>
  <c r="S42" i="89"/>
  <c r="K42" i="89"/>
  <c r="G42" i="89"/>
  <c r="T41" i="89"/>
  <c r="S41" i="89"/>
  <c r="K41" i="89"/>
  <c r="T40" i="89"/>
  <c r="S40" i="89"/>
  <c r="K40" i="89"/>
  <c r="G40" i="89"/>
  <c r="T39" i="89"/>
  <c r="S39" i="89"/>
  <c r="K39" i="89"/>
  <c r="G39" i="89"/>
  <c r="T38" i="89"/>
  <c r="S38" i="89"/>
  <c r="K38" i="89"/>
  <c r="G38" i="89"/>
  <c r="T37" i="89"/>
  <c r="S37" i="89"/>
  <c r="K37" i="89"/>
  <c r="G37" i="89"/>
  <c r="T36" i="89"/>
  <c r="S36" i="89"/>
  <c r="K36" i="89"/>
  <c r="G36" i="89"/>
  <c r="T35" i="89"/>
  <c r="S35" i="89"/>
  <c r="K35" i="89"/>
  <c r="G35" i="89"/>
  <c r="T34" i="89"/>
  <c r="S34" i="89"/>
  <c r="K34" i="89"/>
  <c r="G34" i="89"/>
  <c r="T33" i="89"/>
  <c r="S33" i="89"/>
  <c r="K33" i="89"/>
  <c r="G33" i="89"/>
  <c r="T32" i="89"/>
  <c r="S32" i="89"/>
  <c r="K32" i="89"/>
  <c r="G32" i="89"/>
  <c r="T31" i="89"/>
  <c r="S31" i="89"/>
  <c r="G31" i="89"/>
  <c r="T30" i="89"/>
  <c r="S30" i="89"/>
  <c r="K30" i="89"/>
  <c r="G30" i="89"/>
  <c r="T29" i="89"/>
  <c r="S29" i="89"/>
  <c r="K29" i="89"/>
  <c r="G29" i="89"/>
  <c r="T28" i="89"/>
  <c r="S28" i="89"/>
  <c r="K28" i="89"/>
  <c r="G28" i="89"/>
  <c r="T27" i="89"/>
  <c r="S27" i="89"/>
  <c r="K27" i="89"/>
  <c r="G27" i="89"/>
  <c r="T26" i="89"/>
  <c r="S26" i="89"/>
  <c r="K26" i="89"/>
  <c r="G26" i="89"/>
  <c r="T25" i="89"/>
  <c r="S25" i="89"/>
  <c r="K25" i="89"/>
  <c r="G25" i="89"/>
  <c r="T24" i="89"/>
  <c r="S24" i="89"/>
  <c r="K24" i="89"/>
  <c r="G24" i="89"/>
  <c r="T23" i="89"/>
  <c r="S23" i="89"/>
  <c r="K23" i="89"/>
  <c r="G23" i="89"/>
  <c r="T22" i="89"/>
  <c r="S22" i="89"/>
  <c r="K22" i="89"/>
  <c r="G22" i="89"/>
  <c r="T21" i="89"/>
  <c r="S21" i="89"/>
  <c r="K21" i="89"/>
  <c r="G21" i="89"/>
  <c r="T20" i="89"/>
  <c r="S20" i="89"/>
  <c r="K20" i="89"/>
  <c r="G20" i="89"/>
  <c r="T19" i="89"/>
  <c r="S19" i="89"/>
  <c r="K19" i="89"/>
  <c r="G19" i="89"/>
  <c r="T18" i="89"/>
  <c r="S18" i="89"/>
  <c r="K18" i="89"/>
  <c r="G18" i="89"/>
  <c r="T17" i="89"/>
  <c r="S17" i="89"/>
  <c r="K17" i="89"/>
  <c r="G17" i="89"/>
  <c r="T16" i="89"/>
  <c r="S16" i="89"/>
  <c r="K16" i="89"/>
  <c r="G16" i="89"/>
  <c r="T15" i="89"/>
  <c r="S15" i="89"/>
  <c r="K15" i="89"/>
  <c r="G15" i="89"/>
  <c r="T14" i="89"/>
  <c r="S14" i="89"/>
  <c r="K14" i="89"/>
  <c r="G14" i="89"/>
  <c r="T13" i="89"/>
  <c r="S13" i="89"/>
  <c r="K13" i="89"/>
  <c r="G13" i="89"/>
  <c r="T12" i="89"/>
  <c r="S12" i="89"/>
  <c r="K12" i="89"/>
  <c r="G12" i="89"/>
  <c r="T11" i="89"/>
  <c r="S11" i="89"/>
  <c r="K11" i="89"/>
  <c r="G11" i="89"/>
  <c r="T10" i="89"/>
  <c r="S10" i="89"/>
  <c r="K10" i="89"/>
  <c r="G10" i="89"/>
  <c r="T9" i="89"/>
  <c r="S9" i="89"/>
  <c r="K9" i="89"/>
  <c r="G9" i="89"/>
  <c r="T8" i="89"/>
  <c r="S8" i="89"/>
  <c r="K8" i="89"/>
  <c r="G8" i="89"/>
  <c r="T7" i="89"/>
  <c r="S7" i="89"/>
  <c r="K7" i="89"/>
  <c r="G7" i="89"/>
  <c r="T6" i="89"/>
  <c r="S6" i="89"/>
  <c r="K6" i="89"/>
  <c r="G6" i="89"/>
  <c r="T5" i="89"/>
  <c r="S5" i="89"/>
  <c r="K5" i="89"/>
  <c r="G5" i="89"/>
  <c r="T4" i="89"/>
  <c r="S4" i="89"/>
  <c r="K4" i="89"/>
  <c r="G4" i="89"/>
  <c r="T3" i="89"/>
  <c r="S3" i="89"/>
  <c r="K3" i="89"/>
  <c r="G3" i="89"/>
  <c r="T64" i="92" l="1"/>
  <c r="T37" i="92"/>
  <c r="T61" i="92"/>
  <c r="I80" i="92"/>
  <c r="K80" i="92"/>
  <c r="T58" i="92"/>
  <c r="T38" i="92"/>
  <c r="T7" i="92"/>
  <c r="T25" i="92"/>
  <c r="T18" i="92"/>
  <c r="T9" i="92"/>
  <c r="T26" i="92"/>
  <c r="T50" i="92"/>
  <c r="T11" i="92"/>
  <c r="T36" i="92"/>
  <c r="T8" i="92"/>
  <c r="T27" i="92"/>
  <c r="T51" i="92"/>
  <c r="T20" i="92"/>
  <c r="T31" i="92"/>
  <c r="T40" i="92"/>
  <c r="T44" i="92"/>
  <c r="T54" i="92"/>
  <c r="T63" i="92"/>
  <c r="T6" i="92"/>
  <c r="T15" i="92"/>
  <c r="T24" i="92"/>
  <c r="T33" i="92"/>
  <c r="T46" i="92"/>
  <c r="T56" i="92"/>
  <c r="T65" i="92"/>
  <c r="T76" i="92"/>
  <c r="T12" i="92"/>
  <c r="T19" i="92"/>
  <c r="T21" i="92"/>
  <c r="T30" i="92"/>
  <c r="T39" i="92"/>
  <c r="T43" i="92"/>
  <c r="T53" i="92"/>
  <c r="T62" i="92"/>
  <c r="T73" i="92"/>
  <c r="T16" i="92"/>
  <c r="T23" i="92"/>
  <c r="T34" i="92"/>
  <c r="T47" i="92"/>
  <c r="T57" i="92"/>
  <c r="T66" i="92"/>
  <c r="T56" i="91"/>
  <c r="T15" i="91"/>
  <c r="T63" i="91"/>
  <c r="T8" i="91"/>
  <c r="T51" i="91"/>
  <c r="T66" i="91"/>
  <c r="T59" i="91"/>
  <c r="T50" i="91"/>
  <c r="T26" i="91"/>
  <c r="T32" i="91"/>
  <c r="T38" i="91"/>
  <c r="T57" i="91"/>
  <c r="T75" i="91"/>
  <c r="T7" i="91"/>
  <c r="I79" i="91"/>
  <c r="T29" i="91"/>
  <c r="T35" i="91"/>
  <c r="K79" i="91"/>
</calcChain>
</file>

<file path=xl/sharedStrings.xml><?xml version="1.0" encoding="utf-8"?>
<sst xmlns="http://schemas.openxmlformats.org/spreadsheetml/2006/main" count="5219" uniqueCount="572">
  <si>
    <t>興昱建材</t>
    <phoneticPr fontId="54" type="noConversion"/>
  </si>
  <si>
    <t>當月餘額</t>
    <phoneticPr fontId="54" type="noConversion"/>
  </si>
  <si>
    <t>預收金額</t>
    <phoneticPr fontId="54" type="noConversion"/>
  </si>
  <si>
    <t>合約內容</t>
    <phoneticPr fontId="54" type="noConversion"/>
  </si>
  <si>
    <t>客戶名稱</t>
    <phoneticPr fontId="54" type="noConversion"/>
  </si>
  <si>
    <t>序號</t>
    <phoneticPr fontId="54" type="noConversion"/>
  </si>
  <si>
    <t>109/07/31</t>
    <phoneticPr fontId="54" type="noConversion"/>
  </si>
  <si>
    <t>健康度</t>
    <phoneticPr fontId="54" type="noConversion"/>
  </si>
  <si>
    <t>沖帳方式</t>
    <phoneticPr fontId="54" type="noConversion"/>
  </si>
  <si>
    <t>張數</t>
    <phoneticPr fontId="54" type="noConversion"/>
  </si>
  <si>
    <t>第一張票期</t>
    <phoneticPr fontId="54" type="noConversion"/>
  </si>
  <si>
    <t>最後一張票期</t>
    <phoneticPr fontId="54" type="noConversion"/>
  </si>
  <si>
    <t>109/03/31</t>
    <phoneticPr fontId="54" type="noConversion"/>
  </si>
  <si>
    <t>109/07/05</t>
    <phoneticPr fontId="54" type="noConversion"/>
  </si>
  <si>
    <t>110/04/05</t>
    <phoneticPr fontId="54" type="noConversion"/>
  </si>
  <si>
    <t>季</t>
  </si>
  <si>
    <t>月</t>
  </si>
  <si>
    <t>正常</t>
    <phoneticPr fontId="54" type="noConversion"/>
  </si>
  <si>
    <t>簽約金總計</t>
    <phoneticPr fontId="54" type="noConversion"/>
  </si>
  <si>
    <t>總計</t>
    <phoneticPr fontId="54" type="noConversion"/>
  </si>
  <si>
    <t>嚴重</t>
    <phoneticPr fontId="54" type="noConversion"/>
  </si>
  <si>
    <t>逾期</t>
    <phoneticPr fontId="54" type="noConversion"/>
  </si>
  <si>
    <t>健康合約</t>
    <phoneticPr fontId="54" type="noConversion"/>
  </si>
  <si>
    <t>簽約實銷總計</t>
  </si>
  <si>
    <t>季</t>
    <phoneticPr fontId="54" type="noConversion"/>
  </si>
  <si>
    <t>月</t>
    <phoneticPr fontId="54" type="noConversion"/>
  </si>
  <si>
    <t>補合約票</t>
    <phoneticPr fontId="54" type="noConversion"/>
  </si>
  <si>
    <t>寶鴻</t>
    <phoneticPr fontId="54" type="noConversion"/>
  </si>
  <si>
    <t>好好</t>
    <phoneticPr fontId="54" type="noConversion"/>
  </si>
  <si>
    <t>有效簽約金金額</t>
    <phoneticPr fontId="54" type="noConversion"/>
  </si>
  <si>
    <t>新簽約</t>
    <phoneticPr fontId="54" type="noConversion"/>
  </si>
  <si>
    <t>弘琩</t>
    <phoneticPr fontId="54" type="noConversion"/>
  </si>
  <si>
    <t>111/10/31</t>
    <phoneticPr fontId="54" type="noConversion"/>
  </si>
  <si>
    <t>112/03/31</t>
    <phoneticPr fontId="54" type="noConversion"/>
  </si>
  <si>
    <t>112/09/30</t>
    <phoneticPr fontId="54" type="noConversion"/>
  </si>
  <si>
    <t>112/05/31</t>
    <phoneticPr fontId="54" type="noConversion"/>
  </si>
  <si>
    <t>112/10/31</t>
    <phoneticPr fontId="54" type="noConversion"/>
  </si>
  <si>
    <t>112/12/31</t>
    <phoneticPr fontId="54" type="noConversion"/>
  </si>
  <si>
    <t>百磚</t>
    <phoneticPr fontId="54" type="noConversion"/>
  </si>
  <si>
    <t>113/04/30</t>
    <phoneticPr fontId="54" type="noConversion"/>
  </si>
  <si>
    <t>正常</t>
  </si>
  <si>
    <t>義發磁磚</t>
    <phoneticPr fontId="54" type="noConversion"/>
  </si>
  <si>
    <t>旭峯</t>
    <phoneticPr fontId="54" type="noConversion"/>
  </si>
  <si>
    <t>築磚</t>
    <phoneticPr fontId="54" type="noConversion"/>
  </si>
  <si>
    <t>待續約</t>
  </si>
  <si>
    <t>嚴重</t>
  </si>
  <si>
    <t>113/08/31</t>
    <phoneticPr fontId="54" type="noConversion"/>
  </si>
  <si>
    <t>彩越</t>
    <phoneticPr fontId="54" type="noConversion"/>
  </si>
  <si>
    <t>三能</t>
    <phoneticPr fontId="54" type="noConversion"/>
  </si>
  <si>
    <t>113/09/30</t>
    <phoneticPr fontId="54" type="noConversion"/>
  </si>
  <si>
    <t>113/10/31</t>
    <phoneticPr fontId="54" type="noConversion"/>
  </si>
  <si>
    <t>合品</t>
    <phoneticPr fontId="54" type="noConversion"/>
  </si>
  <si>
    <t>上景</t>
    <phoneticPr fontId="54" type="noConversion"/>
  </si>
  <si>
    <t>新永興</t>
    <phoneticPr fontId="54" type="noConversion"/>
  </si>
  <si>
    <t>偉特</t>
    <phoneticPr fontId="54" type="noConversion"/>
  </si>
  <si>
    <t>114/01/31</t>
    <phoneticPr fontId="54" type="noConversion"/>
  </si>
  <si>
    <t>家躍</t>
    <phoneticPr fontId="54" type="noConversion"/>
  </si>
  <si>
    <t>和豐</t>
    <phoneticPr fontId="54" type="noConversion"/>
  </si>
  <si>
    <t>113/11/30</t>
    <phoneticPr fontId="54" type="noConversion"/>
  </si>
  <si>
    <t>如笙</t>
    <phoneticPr fontId="54" type="noConversion"/>
  </si>
  <si>
    <t xml:space="preserve">月 </t>
    <phoneticPr fontId="54" type="noConversion"/>
  </si>
  <si>
    <t>永泉</t>
    <phoneticPr fontId="54" type="noConversion"/>
  </si>
  <si>
    <t>漫室</t>
    <phoneticPr fontId="54" type="noConversion"/>
  </si>
  <si>
    <t>豐邑</t>
    <phoneticPr fontId="54" type="noConversion"/>
  </si>
  <si>
    <t>114/02/28</t>
    <phoneticPr fontId="54" type="noConversion"/>
  </si>
  <si>
    <t>威麟磁藝</t>
    <phoneticPr fontId="54" type="noConversion"/>
  </si>
  <si>
    <t>114/03/30</t>
    <phoneticPr fontId="54" type="noConversion"/>
  </si>
  <si>
    <t>114/04/30</t>
    <phoneticPr fontId="54" type="noConversion"/>
  </si>
  <si>
    <t>113/12/31</t>
    <phoneticPr fontId="54" type="noConversion"/>
  </si>
  <si>
    <t>114/05/31</t>
    <phoneticPr fontId="54" type="noConversion"/>
  </si>
  <si>
    <t>114/03/31</t>
    <phoneticPr fontId="54" type="noConversion"/>
  </si>
  <si>
    <t>114/06/30</t>
    <phoneticPr fontId="54" type="noConversion"/>
  </si>
  <si>
    <t>114/05/05</t>
    <phoneticPr fontId="54" type="noConversion"/>
  </si>
  <si>
    <t>垣吉</t>
    <phoneticPr fontId="54" type="noConversion"/>
  </si>
  <si>
    <t>114/08/31</t>
    <phoneticPr fontId="54" type="noConversion"/>
  </si>
  <si>
    <t>v</t>
    <phoneticPr fontId="54" type="noConversion"/>
  </si>
  <si>
    <t>領航建材</t>
    <phoneticPr fontId="54" type="noConversion"/>
  </si>
  <si>
    <t>114/08/30</t>
    <phoneticPr fontId="54" type="noConversion"/>
  </si>
  <si>
    <t>114/05/01</t>
    <phoneticPr fontId="54" type="noConversion"/>
  </si>
  <si>
    <t>114/10/1</t>
    <phoneticPr fontId="54" type="noConversion"/>
  </si>
  <si>
    <t>百達富利</t>
    <phoneticPr fontId="54" type="noConversion"/>
  </si>
  <si>
    <t>生隆(協之達)</t>
    <phoneticPr fontId="54" type="noConversion"/>
  </si>
  <si>
    <t>洛居</t>
    <phoneticPr fontId="54" type="noConversion"/>
  </si>
  <si>
    <t>4/16收合約票10萬*3張</t>
    <phoneticPr fontId="54" type="noConversion"/>
  </si>
  <si>
    <t>雙口呂</t>
    <phoneticPr fontId="54" type="noConversion"/>
  </si>
  <si>
    <t>114/04/25</t>
    <phoneticPr fontId="54" type="noConversion"/>
  </si>
  <si>
    <t>114/09/25</t>
    <phoneticPr fontId="54" type="noConversion"/>
  </si>
  <si>
    <t>4/18收合約票$75821*1+$50000*5</t>
    <phoneticPr fontId="54" type="noConversion"/>
  </si>
  <si>
    <t>114/10/31</t>
    <phoneticPr fontId="54" type="noConversion"/>
  </si>
  <si>
    <t>英格</t>
    <phoneticPr fontId="54" type="noConversion"/>
  </si>
  <si>
    <t>114/07/31</t>
    <phoneticPr fontId="54" type="noConversion"/>
  </si>
  <si>
    <t>關鵬實業</t>
    <phoneticPr fontId="54" type="noConversion"/>
  </si>
  <si>
    <t>誼麗建業</t>
    <phoneticPr fontId="54" type="noConversion"/>
  </si>
  <si>
    <t>待續約</t>
    <phoneticPr fontId="54" type="noConversion"/>
  </si>
  <si>
    <t>琮崴實業</t>
    <phoneticPr fontId="54" type="noConversion"/>
  </si>
  <si>
    <t>利鴻廣</t>
    <phoneticPr fontId="54" type="noConversion"/>
  </si>
  <si>
    <t>達利建材</t>
    <phoneticPr fontId="54" type="noConversion"/>
  </si>
  <si>
    <t>百事得</t>
    <phoneticPr fontId="54" type="noConversion"/>
  </si>
  <si>
    <t>東昇</t>
    <phoneticPr fontId="54" type="noConversion"/>
  </si>
  <si>
    <t>5/9收合約票30萬*1張</t>
    <phoneticPr fontId="54" type="noConversion"/>
  </si>
  <si>
    <t>5/9收合約票10萬*3張</t>
    <phoneticPr fontId="54" type="noConversion"/>
  </si>
  <si>
    <t>A002</t>
    <phoneticPr fontId="54" type="noConversion"/>
  </si>
  <si>
    <t>A006</t>
    <phoneticPr fontId="54" type="noConversion"/>
  </si>
  <si>
    <t>A021</t>
    <phoneticPr fontId="54" type="noConversion"/>
  </si>
  <si>
    <t>A022</t>
    <phoneticPr fontId="54" type="noConversion"/>
  </si>
  <si>
    <t>A025</t>
    <phoneticPr fontId="54" type="noConversion"/>
  </si>
  <si>
    <t>A031</t>
    <phoneticPr fontId="54" type="noConversion"/>
  </si>
  <si>
    <t>A068</t>
    <phoneticPr fontId="54" type="noConversion"/>
  </si>
  <si>
    <t>A096</t>
    <phoneticPr fontId="54" type="noConversion"/>
  </si>
  <si>
    <t>A128</t>
    <phoneticPr fontId="54" type="noConversion"/>
  </si>
  <si>
    <t>A143</t>
    <phoneticPr fontId="54" type="noConversion"/>
  </si>
  <si>
    <t>A165</t>
    <phoneticPr fontId="54" type="noConversion"/>
  </si>
  <si>
    <t>A167</t>
    <phoneticPr fontId="54" type="noConversion"/>
  </si>
  <si>
    <t>A098</t>
    <phoneticPr fontId="54" type="noConversion"/>
  </si>
  <si>
    <t>A142</t>
    <phoneticPr fontId="54" type="noConversion"/>
  </si>
  <si>
    <t>B210</t>
    <phoneticPr fontId="54" type="noConversion"/>
  </si>
  <si>
    <t>B047</t>
    <phoneticPr fontId="54" type="noConversion"/>
  </si>
  <si>
    <t>B094</t>
    <phoneticPr fontId="54" type="noConversion"/>
  </si>
  <si>
    <t>A116</t>
    <phoneticPr fontId="54" type="noConversion"/>
  </si>
  <si>
    <t>A085</t>
    <phoneticPr fontId="54" type="noConversion"/>
  </si>
  <si>
    <t>B182</t>
    <phoneticPr fontId="54" type="noConversion"/>
  </si>
  <si>
    <t>B186</t>
    <phoneticPr fontId="54" type="noConversion"/>
  </si>
  <si>
    <t>5/26另收票$31836；5/26收合約票10萬*3張</t>
    <phoneticPr fontId="54" type="noConversion"/>
  </si>
  <si>
    <t>A155</t>
    <phoneticPr fontId="54" type="noConversion"/>
  </si>
  <si>
    <t>A018</t>
    <phoneticPr fontId="54" type="noConversion"/>
  </si>
  <si>
    <t>B002</t>
    <phoneticPr fontId="54" type="noConversion"/>
  </si>
  <si>
    <t>A070</t>
    <phoneticPr fontId="54" type="noConversion"/>
  </si>
  <si>
    <t>B154</t>
    <phoneticPr fontId="54" type="noConversion"/>
  </si>
  <si>
    <t>B023</t>
    <phoneticPr fontId="54" type="noConversion"/>
  </si>
  <si>
    <t>B026</t>
    <phoneticPr fontId="54" type="noConversion"/>
  </si>
  <si>
    <t>B049</t>
    <phoneticPr fontId="54" type="noConversion"/>
  </si>
  <si>
    <t>B116</t>
    <phoneticPr fontId="54" type="noConversion"/>
  </si>
  <si>
    <t>B211</t>
    <phoneticPr fontId="54" type="noConversion"/>
  </si>
  <si>
    <t>A170</t>
    <phoneticPr fontId="54" type="noConversion"/>
  </si>
  <si>
    <t>A107</t>
    <phoneticPr fontId="54" type="noConversion"/>
  </si>
  <si>
    <t>A014</t>
    <phoneticPr fontId="54" type="noConversion"/>
  </si>
  <si>
    <t>B198</t>
    <phoneticPr fontId="54" type="noConversion"/>
  </si>
  <si>
    <t>A048</t>
    <phoneticPr fontId="54" type="noConversion"/>
  </si>
  <si>
    <t>114/11/30</t>
    <phoneticPr fontId="54" type="noConversion"/>
  </si>
  <si>
    <t>B013</t>
    <phoneticPr fontId="54" type="noConversion"/>
  </si>
  <si>
    <t>114/05/27</t>
    <phoneticPr fontId="54" type="noConversion"/>
  </si>
  <si>
    <t>5/28收合約票10萬*3張</t>
    <phoneticPr fontId="54" type="noConversion"/>
  </si>
  <si>
    <t>B072</t>
    <phoneticPr fontId="54" type="noConversion"/>
  </si>
  <si>
    <t>B162</t>
    <phoneticPr fontId="54" type="noConversion"/>
  </si>
  <si>
    <t>A122</t>
    <phoneticPr fontId="54" type="noConversion"/>
  </si>
  <si>
    <t>B044</t>
    <phoneticPr fontId="54" type="noConversion"/>
  </si>
  <si>
    <t>C049</t>
    <phoneticPr fontId="54" type="noConversion"/>
  </si>
  <si>
    <t>D023</t>
    <phoneticPr fontId="54" type="noConversion"/>
  </si>
  <si>
    <t>D042</t>
    <phoneticPr fontId="54" type="noConversion"/>
  </si>
  <si>
    <t>A036</t>
    <phoneticPr fontId="54" type="noConversion"/>
  </si>
  <si>
    <t>A087</t>
    <phoneticPr fontId="54" type="noConversion"/>
  </si>
  <si>
    <t>A051</t>
    <phoneticPr fontId="54" type="noConversion"/>
  </si>
  <si>
    <t>A036-A</t>
    <phoneticPr fontId="54" type="noConversion"/>
  </si>
  <si>
    <t>A033</t>
    <phoneticPr fontId="54" type="noConversion"/>
  </si>
  <si>
    <t>A028</t>
    <phoneticPr fontId="54" type="noConversion"/>
  </si>
  <si>
    <t>A060</t>
    <phoneticPr fontId="54" type="noConversion"/>
  </si>
  <si>
    <t>114/06/05</t>
    <phoneticPr fontId="54" type="noConversion"/>
  </si>
  <si>
    <t>6/3收合約票5萬*6張</t>
    <phoneticPr fontId="54" type="noConversion"/>
  </si>
  <si>
    <t>B076</t>
    <phoneticPr fontId="54" type="noConversion"/>
  </si>
  <si>
    <t>B105</t>
    <phoneticPr fontId="54" type="noConversion"/>
  </si>
  <si>
    <t>B109</t>
    <phoneticPr fontId="54" type="noConversion"/>
  </si>
  <si>
    <t>6/24收合約票10萬*1張</t>
    <phoneticPr fontId="54" type="noConversion"/>
  </si>
  <si>
    <t>6/24收合約票5萬*6張</t>
    <phoneticPr fontId="54" type="noConversion"/>
  </si>
  <si>
    <t>D034</t>
    <phoneticPr fontId="54" type="noConversion"/>
  </si>
  <si>
    <t>Y019</t>
    <phoneticPr fontId="54" type="noConversion"/>
  </si>
  <si>
    <t>A139</t>
    <phoneticPr fontId="54" type="noConversion"/>
  </si>
  <si>
    <t>A073</t>
    <phoneticPr fontId="54" type="noConversion"/>
  </si>
  <si>
    <t>A147</t>
    <phoneticPr fontId="54" type="noConversion"/>
  </si>
  <si>
    <t>B194</t>
    <phoneticPr fontId="54" type="noConversion"/>
  </si>
  <si>
    <t>B166</t>
    <phoneticPr fontId="54" type="noConversion"/>
  </si>
  <si>
    <t>D018</t>
    <phoneticPr fontId="54" type="noConversion"/>
  </si>
  <si>
    <t>7/1收合約票10萬*3張</t>
    <phoneticPr fontId="54" type="noConversion"/>
  </si>
  <si>
    <t>D012</t>
    <phoneticPr fontId="54" type="noConversion"/>
  </si>
  <si>
    <t>顧佳</t>
    <phoneticPr fontId="54" type="noConversion"/>
  </si>
  <si>
    <t>A126</t>
  </si>
  <si>
    <t>C001</t>
    <phoneticPr fontId="54" type="noConversion"/>
  </si>
  <si>
    <t>B152</t>
    <phoneticPr fontId="54" type="noConversion"/>
  </si>
  <si>
    <t>6/2 $10萬；6/30 $10萬</t>
    <phoneticPr fontId="54" type="noConversion"/>
  </si>
  <si>
    <t>114/06/02</t>
    <phoneticPr fontId="54" type="noConversion"/>
  </si>
  <si>
    <t>A004+A153</t>
    <phoneticPr fontId="54" type="noConversion"/>
  </si>
  <si>
    <t>東春建材</t>
    <phoneticPr fontId="54" type="noConversion"/>
  </si>
  <si>
    <t>美盛建材</t>
    <phoneticPr fontId="54" type="noConversion"/>
  </si>
  <si>
    <t>辰熙精品</t>
    <phoneticPr fontId="54" type="noConversion"/>
  </si>
  <si>
    <t>百宏</t>
    <phoneticPr fontId="54" type="noConversion"/>
  </si>
  <si>
    <t>夏綠蒂</t>
    <phoneticPr fontId="54" type="noConversion"/>
  </si>
  <si>
    <t>森豐建材</t>
    <phoneticPr fontId="54" type="noConversion"/>
  </si>
  <si>
    <t>A162</t>
  </si>
  <si>
    <t>B112</t>
    <phoneticPr fontId="54" type="noConversion"/>
  </si>
  <si>
    <t>B136</t>
    <phoneticPr fontId="54" type="noConversion"/>
  </si>
  <si>
    <t>鼎展建材</t>
    <phoneticPr fontId="54" type="noConversion"/>
  </si>
  <si>
    <t>114/07/31</t>
  </si>
  <si>
    <t>114/09/30</t>
  </si>
  <si>
    <t>F006</t>
  </si>
  <si>
    <t>昀創</t>
    <phoneticPr fontId="54" type="noConversion"/>
  </si>
  <si>
    <t>7/14收合約票10萬*3張</t>
    <phoneticPr fontId="54" type="noConversion"/>
  </si>
  <si>
    <t>7/24收合約票5萬*6張</t>
    <phoneticPr fontId="54" type="noConversion"/>
  </si>
  <si>
    <t>7/28收合約票10萬*3張</t>
    <phoneticPr fontId="54" type="noConversion"/>
  </si>
  <si>
    <t>7/25收合約票10萬*3張</t>
    <phoneticPr fontId="54" type="noConversion"/>
  </si>
  <si>
    <t>7/22收合約票30萬*1張</t>
    <phoneticPr fontId="54" type="noConversion"/>
  </si>
  <si>
    <t>鏷城實業</t>
    <phoneticPr fontId="54" type="noConversion"/>
  </si>
  <si>
    <t>114/08/05</t>
    <phoneticPr fontId="54" type="noConversion"/>
  </si>
  <si>
    <t>114/10/05</t>
    <phoneticPr fontId="54" type="noConversion"/>
  </si>
  <si>
    <t>114/12/31</t>
    <phoneticPr fontId="54" type="noConversion"/>
  </si>
  <si>
    <t>B201</t>
    <phoneticPr fontId="54" type="noConversion"/>
  </si>
  <si>
    <t>熊禾雅</t>
    <phoneticPr fontId="54" type="noConversion"/>
  </si>
  <si>
    <t>114/07/25</t>
    <phoneticPr fontId="54" type="noConversion"/>
  </si>
  <si>
    <t>7/25收現金10萬(體驗合約)</t>
    <phoneticPr fontId="54" type="noConversion"/>
  </si>
  <si>
    <t>禾欣</t>
    <phoneticPr fontId="54" type="noConversion"/>
  </si>
  <si>
    <t>伊特建材</t>
    <phoneticPr fontId="54" type="noConversion"/>
  </si>
  <si>
    <t>8/21收合約票5萬*6張</t>
    <phoneticPr fontId="54" type="noConversion"/>
  </si>
  <si>
    <t>8/21補合約票10萬*3張</t>
    <phoneticPr fontId="54" type="noConversion"/>
  </si>
  <si>
    <t>8/5收合約票10萬*3張</t>
    <phoneticPr fontId="54" type="noConversion"/>
  </si>
  <si>
    <t>8/26收合約票10萬*3張</t>
    <phoneticPr fontId="54" type="noConversion"/>
  </si>
  <si>
    <t>8/26收合約票10萬*4張</t>
    <phoneticPr fontId="54" type="noConversion"/>
  </si>
  <si>
    <t>8/26收合約票10萬*2張</t>
    <phoneticPr fontId="54" type="noConversion"/>
  </si>
  <si>
    <t>114/09/05</t>
    <phoneticPr fontId="54" type="noConversion"/>
  </si>
  <si>
    <t>115/01/05</t>
    <phoneticPr fontId="54" type="noConversion"/>
  </si>
  <si>
    <t>115/02/05</t>
    <phoneticPr fontId="54" type="noConversion"/>
  </si>
  <si>
    <t>115/01/31</t>
    <phoneticPr fontId="54" type="noConversion"/>
  </si>
  <si>
    <t>8/26補合約票5萬*6張</t>
    <phoneticPr fontId="54" type="noConversion"/>
  </si>
  <si>
    <t>8/27收合約票5萬*6張</t>
    <phoneticPr fontId="54" type="noConversion"/>
  </si>
  <si>
    <t>112/11/24</t>
    <phoneticPr fontId="54" type="noConversion"/>
  </si>
  <si>
    <t>9/2收合約票10萬*3張；另收$53,660</t>
    <phoneticPr fontId="54" type="noConversion"/>
  </si>
  <si>
    <t>8/15收合約票5萬*6張</t>
    <phoneticPr fontId="54" type="noConversion"/>
  </si>
  <si>
    <t>114/09/30</t>
    <phoneticPr fontId="54" type="noConversion"/>
  </si>
  <si>
    <t>115/03/01</t>
    <phoneticPr fontId="54" type="noConversion"/>
  </si>
  <si>
    <t>9/2收合約票5萬*6張</t>
    <phoneticPr fontId="54" type="noConversion"/>
  </si>
  <si>
    <t>115/03/05</t>
    <phoneticPr fontId="54" type="noConversion"/>
  </si>
  <si>
    <t>統信</t>
    <phoneticPr fontId="54" type="noConversion"/>
  </si>
  <si>
    <t>曹碩</t>
    <phoneticPr fontId="54" type="noConversion"/>
  </si>
  <si>
    <t>伸堡建材</t>
    <phoneticPr fontId="54" type="noConversion"/>
  </si>
  <si>
    <t>德思特尼</t>
    <phoneticPr fontId="54" type="noConversion"/>
  </si>
  <si>
    <t>金磚</t>
    <phoneticPr fontId="54" type="noConversion"/>
  </si>
  <si>
    <t>王子</t>
    <phoneticPr fontId="54" type="noConversion"/>
  </si>
  <si>
    <t>立曄磁磚</t>
    <phoneticPr fontId="54" type="noConversion"/>
  </si>
  <si>
    <t>國強五金</t>
    <phoneticPr fontId="54" type="noConversion"/>
  </si>
  <si>
    <t>聖文建材</t>
    <phoneticPr fontId="54" type="noConversion"/>
  </si>
  <si>
    <t>大盟</t>
    <phoneticPr fontId="54" type="noConversion"/>
  </si>
  <si>
    <t>司比達</t>
    <phoneticPr fontId="54" type="noConversion"/>
  </si>
  <si>
    <t>睿敏實業</t>
    <phoneticPr fontId="54" type="noConversion"/>
  </si>
  <si>
    <t>浩思</t>
    <phoneticPr fontId="54" type="noConversion"/>
  </si>
  <si>
    <t>元久磁磚</t>
    <phoneticPr fontId="54" type="noConversion"/>
  </si>
  <si>
    <t>冠品開發</t>
    <phoneticPr fontId="54" type="noConversion"/>
  </si>
  <si>
    <t>寶威</t>
    <phoneticPr fontId="54" type="noConversion"/>
  </si>
  <si>
    <t>嘉品建材</t>
    <phoneticPr fontId="54" type="noConversion"/>
  </si>
  <si>
    <t>嚴重：超過一年；逾期：超過半年</t>
    <phoneticPr fontId="54" type="noConversion"/>
  </si>
  <si>
    <t>孫宇宏</t>
  </si>
  <si>
    <t>陳元勲</t>
  </si>
  <si>
    <t>陳唯凱</t>
  </si>
  <si>
    <t>呂偉賓</t>
  </si>
  <si>
    <t>9/24收合約票10萬*3張</t>
    <phoneticPr fontId="54" type="noConversion"/>
  </si>
  <si>
    <t>8/28收合約票5萬*6張</t>
    <phoneticPr fontId="54" type="noConversion"/>
  </si>
  <si>
    <t>9/26補</t>
    <phoneticPr fontId="54" type="noConversion"/>
  </si>
  <si>
    <t>9/26收合約票10萬*3張</t>
    <phoneticPr fontId="54" type="noConversion"/>
  </si>
  <si>
    <t>10/1補</t>
    <phoneticPr fontId="54" type="noConversion"/>
  </si>
  <si>
    <t>115/02/28</t>
    <phoneticPr fontId="54" type="noConversion"/>
  </si>
  <si>
    <t>10/3補</t>
    <phoneticPr fontId="54" type="noConversion"/>
  </si>
  <si>
    <t>10/03收合約票5萬*6張</t>
    <phoneticPr fontId="54" type="noConversion"/>
  </si>
  <si>
    <t>115/03/31</t>
    <phoneticPr fontId="54" type="noConversion"/>
  </si>
  <si>
    <t>全億(文億)</t>
    <phoneticPr fontId="54" type="noConversion"/>
  </si>
  <si>
    <t>10/1收合約票10萬*3張</t>
    <phoneticPr fontId="54" type="noConversion"/>
  </si>
  <si>
    <t>10/20補</t>
    <phoneticPr fontId="54" type="noConversion"/>
  </si>
  <si>
    <t>10/20收合約票10萬*3張</t>
    <phoneticPr fontId="54" type="noConversion"/>
  </si>
  <si>
    <t>10/28補</t>
    <phoneticPr fontId="54" type="noConversion"/>
  </si>
  <si>
    <t>10/28收合約票5萬*6張</t>
    <phoneticPr fontId="54" type="noConversion"/>
  </si>
  <si>
    <t>10/30補</t>
    <phoneticPr fontId="54" type="noConversion"/>
  </si>
  <si>
    <t>10/30收合約票10萬*3張</t>
    <phoneticPr fontId="54" type="noConversion"/>
  </si>
  <si>
    <t>10/31補</t>
    <phoneticPr fontId="54" type="noConversion"/>
  </si>
  <si>
    <t>114/11/05</t>
    <phoneticPr fontId="54" type="noConversion"/>
  </si>
  <si>
    <t>115/05/05</t>
    <phoneticPr fontId="54" type="noConversion"/>
  </si>
  <si>
    <t>10/31收合約票15萬*6張</t>
    <phoneticPr fontId="54" type="noConversion"/>
  </si>
  <si>
    <t>CHK</t>
    <phoneticPr fontId="54" type="noConversion"/>
  </si>
  <si>
    <t>備註</t>
    <phoneticPr fontId="54" type="noConversion"/>
  </si>
  <si>
    <t>客戶代號</t>
    <phoneticPr fontId="54" type="noConversion"/>
  </si>
  <si>
    <t>業務</t>
    <phoneticPr fontId="54" type="noConversion"/>
  </si>
  <si>
    <t>大永磁磚</t>
    <phoneticPr fontId="54" type="noConversion"/>
  </si>
  <si>
    <t>11/18補</t>
    <phoneticPr fontId="54" type="noConversion"/>
  </si>
  <si>
    <t>11/18收合約票10萬*3張</t>
    <phoneticPr fontId="54" type="noConversion"/>
  </si>
  <si>
    <t>11/3補</t>
    <phoneticPr fontId="54" type="noConversion"/>
  </si>
  <si>
    <t>115/04/30</t>
    <phoneticPr fontId="54" type="noConversion"/>
  </si>
  <si>
    <t>11/3 收合約票5萬*6張</t>
    <phoneticPr fontId="54" type="noConversion"/>
  </si>
  <si>
    <t>10/01收合約票5萬*6張；114/09尾折$82</t>
    <phoneticPr fontId="54" type="noConversion"/>
  </si>
  <si>
    <t>大理</t>
    <phoneticPr fontId="54" type="noConversion"/>
  </si>
  <si>
    <t>=TEXTJOIN(",", TRUE, A1:A5)</t>
    <phoneticPr fontId="54" type="noConversion"/>
  </si>
  <si>
    <t>12/01補</t>
    <phoneticPr fontId="54" type="noConversion"/>
  </si>
  <si>
    <t>12/1收合約票5萬*6張</t>
    <phoneticPr fontId="54" type="noConversion"/>
  </si>
  <si>
    <t>完成續約</t>
    <phoneticPr fontId="54" type="noConversion"/>
  </si>
  <si>
    <t>12/29補</t>
    <phoneticPr fontId="54" type="noConversion"/>
  </si>
  <si>
    <t>12/29收合約票10萬*3張</t>
    <phoneticPr fontId="54" type="noConversion"/>
  </si>
  <si>
    <t>12月餘額</t>
    <phoneticPr fontId="54" type="noConversion"/>
  </si>
  <si>
    <t>12/23收合約票10萬*3張</t>
    <phoneticPr fontId="54" type="noConversion"/>
  </si>
  <si>
    <t>12/23補</t>
    <phoneticPr fontId="54" type="noConversion"/>
  </si>
  <si>
    <t>115/05/31</t>
    <phoneticPr fontId="54" type="noConversion"/>
  </si>
  <si>
    <t>12/23收合約票20萬*6張</t>
    <phoneticPr fontId="54" type="noConversion"/>
  </si>
  <si>
    <t>1/21補</t>
    <phoneticPr fontId="54" type="noConversion"/>
  </si>
  <si>
    <t>1/21收合約票5萬*6張</t>
    <phoneticPr fontId="54" type="noConversion"/>
  </si>
  <si>
    <t>01/23補</t>
    <phoneticPr fontId="54" type="noConversion"/>
  </si>
  <si>
    <t>1/23收合約票10萬*3張</t>
    <phoneticPr fontId="54" type="noConversion"/>
  </si>
  <si>
    <t>1/27收合約票5萬*6張</t>
    <phoneticPr fontId="54" type="noConversion"/>
  </si>
  <si>
    <t>1/27補</t>
    <phoneticPr fontId="54" type="noConversion"/>
  </si>
  <si>
    <t>115/06/30</t>
    <phoneticPr fontId="54" type="noConversion"/>
  </si>
  <si>
    <t>12/26補</t>
    <phoneticPr fontId="54" type="noConversion"/>
  </si>
  <si>
    <t>02/02補</t>
    <phoneticPr fontId="54" type="noConversion"/>
  </si>
  <si>
    <t>2/2收合約票10萬*3張</t>
    <phoneticPr fontId="54" type="noConversion"/>
  </si>
  <si>
    <t>12/26收合約票5萬*6張；2/3對1月帳款$45003</t>
    <phoneticPr fontId="54" type="noConversion"/>
  </si>
  <si>
    <t>1/6補</t>
    <phoneticPr fontId="54" type="noConversion"/>
  </si>
  <si>
    <t>建宏</t>
    <phoneticPr fontId="54" type="noConversion"/>
  </si>
  <si>
    <t>115/01/21</t>
    <phoneticPr fontId="54" type="noConversion"/>
  </si>
  <si>
    <t>1月新簽約</t>
    <phoneticPr fontId="54" type="noConversion"/>
  </si>
  <si>
    <t>鑫竹</t>
    <phoneticPr fontId="54" type="noConversion"/>
  </si>
  <si>
    <t>1/15補</t>
    <phoneticPr fontId="54" type="noConversion"/>
  </si>
  <si>
    <t>C054</t>
    <phoneticPr fontId="54" type="noConversion"/>
  </si>
  <si>
    <t>孫宇宏</t>
    <phoneticPr fontId="54" type="noConversion"/>
  </si>
  <si>
    <t>A071</t>
    <phoneticPr fontId="54" type="noConversion"/>
  </si>
  <si>
    <t>呂偉賓</t>
    <phoneticPr fontId="54" type="noConversion"/>
  </si>
  <si>
    <t xml:space="preserve">安帝嘉 2026年 01月份-簽約客戶表    </t>
    <phoneticPr fontId="54" type="noConversion"/>
  </si>
  <si>
    <t>115/01月沖帳金額</t>
    <phoneticPr fontId="54" type="noConversion"/>
  </si>
  <si>
    <t>01月沖帳</t>
    <phoneticPr fontId="54" type="noConversion"/>
  </si>
  <si>
    <t>01月餘額</t>
    <phoneticPr fontId="54" type="noConversion"/>
  </si>
  <si>
    <t>協盛建材</t>
    <phoneticPr fontId="54" type="noConversion"/>
  </si>
  <si>
    <t>敏業實業</t>
    <phoneticPr fontId="54" type="noConversion"/>
  </si>
  <si>
    <t>信義星</t>
    <phoneticPr fontId="54" type="noConversion"/>
  </si>
  <si>
    <t>喬翌貿易</t>
    <phoneticPr fontId="54" type="noConversion"/>
  </si>
  <si>
    <t>1/14補</t>
    <phoneticPr fontId="54" type="noConversion"/>
  </si>
  <si>
    <t>2/9補</t>
    <phoneticPr fontId="54" type="noConversion"/>
  </si>
  <si>
    <t>v</t>
    <phoneticPr fontId="54" type="noConversion"/>
  </si>
  <si>
    <t>2/9收合約票10萬*3張</t>
    <phoneticPr fontId="54" type="noConversion"/>
  </si>
  <si>
    <t>2/10補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</si>
  <si>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</si>
  <si>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</si>
  <si>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</si>
  <si>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2/25補</t>
    <phoneticPr fontId="54" type="noConversion"/>
  </si>
  <si>
    <t>v</t>
    <phoneticPr fontId="54" type="noConversion"/>
  </si>
  <si>
    <t>2/25收合約票10萬*3張</t>
    <phoneticPr fontId="54" type="noConversion"/>
  </si>
  <si>
    <t>v</t>
    <phoneticPr fontId="54" type="noConversion"/>
  </si>
  <si>
    <t>1/27收合約票10萬*3張</t>
    <phoneticPr fontId="54" type="noConversion"/>
  </si>
  <si>
    <t>v</t>
    <phoneticPr fontId="54" type="noConversion"/>
  </si>
  <si>
    <t>v</t>
    <phoneticPr fontId="54" type="noConversion"/>
  </si>
  <si>
    <t>3/4補</t>
    <phoneticPr fontId="54" type="noConversion"/>
  </si>
  <si>
    <t>3/4收合約票10萬*3張</t>
    <phoneticPr fontId="54" type="noConversion"/>
  </si>
  <si>
    <t>v</t>
    <phoneticPr fontId="54" type="noConversion"/>
  </si>
  <si>
    <t>02月沖帳</t>
    <phoneticPr fontId="54" type="noConversion"/>
  </si>
  <si>
    <t>02月餘額</t>
    <phoneticPr fontId="54" type="noConversion"/>
  </si>
  <si>
    <t>115/02月沖帳金額</t>
    <phoneticPr fontId="54" type="noConversion"/>
  </si>
  <si>
    <t xml:space="preserve">安帝嘉 2026年 02月份-簽約客戶表    </t>
    <phoneticPr fontId="54" type="noConversion"/>
  </si>
  <si>
    <t>01/06補</t>
    <phoneticPr fontId="54" type="noConversion"/>
  </si>
  <si>
    <t>01/14補</t>
    <phoneticPr fontId="54" type="noConversion"/>
  </si>
  <si>
    <t>01/21補</t>
    <phoneticPr fontId="54" type="noConversion"/>
  </si>
  <si>
    <t>01/27補</t>
    <phoneticPr fontId="54" type="noConversion"/>
  </si>
  <si>
    <t>01/15補</t>
    <phoneticPr fontId="54" type="noConversion"/>
  </si>
  <si>
    <t>02/25補</t>
    <phoneticPr fontId="54" type="noConversion"/>
  </si>
  <si>
    <t>03/04補</t>
    <phoneticPr fontId="54" type="noConversion"/>
  </si>
  <si>
    <t>10/01補</t>
    <phoneticPr fontId="54" type="noConversion"/>
  </si>
  <si>
    <t>10/03補</t>
    <phoneticPr fontId="54" type="noConversion"/>
  </si>
  <si>
    <t>02/10補</t>
    <phoneticPr fontId="54" type="noConversion"/>
  </si>
  <si>
    <t>11/03補</t>
    <phoneticPr fontId="54" type="noConversion"/>
  </si>
  <si>
    <t>02/09補</t>
    <phoneticPr fontId="54" type="noConversion"/>
  </si>
  <si>
    <t>09/26補</t>
    <phoneticPr fontId="54" type="noConversion"/>
  </si>
  <si>
    <t>沖#1130722003</t>
    <phoneticPr fontId="54" type="noConversion"/>
  </si>
  <si>
    <t>沖#1121024009</t>
    <phoneticPr fontId="54" type="noConversion"/>
  </si>
  <si>
    <t>沖#1130430034</t>
    <phoneticPr fontId="54" type="noConversion"/>
  </si>
  <si>
    <t>沖#1130823005</t>
    <phoneticPr fontId="54" type="noConversion"/>
  </si>
  <si>
    <t>沖#1130930008</t>
    <phoneticPr fontId="54" type="noConversion"/>
  </si>
  <si>
    <t>沖#11201221002</t>
    <phoneticPr fontId="54" type="noConversion"/>
  </si>
  <si>
    <t>沖#1111031011</t>
    <phoneticPr fontId="54" type="noConversion"/>
  </si>
  <si>
    <t>沖#1130627013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</si>
  <si>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</si>
  <si>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</si>
  <si>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</si>
  <si>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</si>
  <si>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3/24補</t>
    <phoneticPr fontId="54" type="noConversion"/>
  </si>
  <si>
    <t>3/24收合約票10萬*3張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</si>
  <si>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</si>
  <si>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</si>
  <si>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</si>
  <si>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3/30補</t>
    <phoneticPr fontId="54" type="noConversion"/>
  </si>
  <si>
    <t>3/30收票10萬*3張 /沖#1150330012</t>
    <phoneticPr fontId="54" type="noConversion"/>
  </si>
  <si>
    <t>v</t>
    <phoneticPr fontId="54" type="noConversion"/>
  </si>
  <si>
    <t>03月沖帳</t>
    <phoneticPr fontId="54" type="noConversion"/>
  </si>
  <si>
    <t>03月餘額</t>
    <phoneticPr fontId="54" type="noConversion"/>
  </si>
  <si>
    <t>115/03月沖帳金額</t>
    <phoneticPr fontId="54" type="noConversion"/>
  </si>
  <si>
    <t xml:space="preserve">安帝嘉 2026年 03月份-簽約客戶表    </t>
    <phoneticPr fontId="54" type="noConversion"/>
  </si>
  <si>
    <t>115/03/31</t>
  </si>
  <si>
    <t>115/05/31</t>
  </si>
  <si>
    <t>114/05/31</t>
  </si>
  <si>
    <t>115/01/21</t>
  </si>
  <si>
    <t>v</t>
    <phoneticPr fontId="54" type="noConversion"/>
  </si>
  <si>
    <t>v</t>
    <phoneticPr fontId="54" type="noConversion"/>
  </si>
  <si>
    <t>4/23收合約票15萬*6張</t>
    <phoneticPr fontId="54" type="noConversion"/>
  </si>
  <si>
    <t>4/23補</t>
    <phoneticPr fontId="54" type="noConversion"/>
  </si>
  <si>
    <t>115/10/31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</si>
  <si>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</si>
  <si>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</si>
  <si>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</si>
  <si>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4/24補</t>
    <phoneticPr fontId="54" type="noConversion"/>
  </si>
  <si>
    <t>9/02 收合約票 5萬*6張</t>
    <phoneticPr fontId="54" type="noConversion"/>
  </si>
  <si>
    <t>4/24 收合約票 5萬*6張</t>
    <phoneticPr fontId="54" type="noConversion"/>
  </si>
  <si>
    <t>115/04/25</t>
    <phoneticPr fontId="54" type="noConversion"/>
  </si>
  <si>
    <t>115/09/25</t>
    <phoneticPr fontId="54" type="noConversion"/>
  </si>
  <si>
    <t>115/09/30</t>
    <phoneticPr fontId="54" type="noConversion"/>
  </si>
  <si>
    <t>v</t>
    <phoneticPr fontId="54" type="noConversion"/>
  </si>
  <si>
    <t>4/24收合約票5萬*6張</t>
    <phoneticPr fontId="54" type="noConversion"/>
  </si>
  <si>
    <t>v</t>
    <phoneticPr fontId="54" type="noConversion"/>
  </si>
  <si>
    <t>4/28合約票10萬*6張</t>
    <phoneticPr fontId="54" type="noConversion"/>
  </si>
  <si>
    <t>4/28補</t>
    <phoneticPr fontId="54" type="noConversion"/>
  </si>
  <si>
    <t>v</t>
    <phoneticPr fontId="54" type="noConversion"/>
  </si>
  <si>
    <t>合約月份</t>
    <phoneticPr fontId="54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</si>
  <si>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</si>
  <si>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</si>
  <si>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</si>
  <si>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</si>
  <si>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</si>
  <si>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</si>
  <si>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</si>
  <si>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</si>
  <si>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</si>
  <si>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</si>
  <si>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01月</t>
    <phoneticPr fontId="54" type="noConversion"/>
  </si>
  <si>
    <t>02月</t>
    <phoneticPr fontId="54" type="noConversion"/>
  </si>
  <si>
    <t>03月</t>
    <phoneticPr fontId="54" type="noConversion"/>
  </si>
  <si>
    <t>04月</t>
    <phoneticPr fontId="54" type="noConversion"/>
  </si>
  <si>
    <t>05月</t>
    <phoneticPr fontId="54" type="noConversion"/>
  </si>
  <si>
    <t>06月</t>
    <phoneticPr fontId="54" type="noConversion"/>
  </si>
  <si>
    <t>07月</t>
    <phoneticPr fontId="54" type="noConversion"/>
  </si>
  <si>
    <t>08月</t>
    <phoneticPr fontId="54" type="noConversion"/>
  </si>
  <si>
    <t>09月</t>
    <phoneticPr fontId="54" type="noConversion"/>
  </si>
  <si>
    <t>12月</t>
    <phoneticPr fontId="54" type="noConversion"/>
  </si>
  <si>
    <t>1月</t>
    <phoneticPr fontId="54" type="noConversion"/>
  </si>
  <si>
    <t>2月</t>
    <phoneticPr fontId="54" type="noConversion"/>
  </si>
  <si>
    <t>3月</t>
    <phoneticPr fontId="54" type="noConversion"/>
  </si>
  <si>
    <t>9月</t>
    <phoneticPr fontId="54" type="noConversion"/>
  </si>
  <si>
    <t>10月</t>
    <phoneticPr fontId="54" type="noConversion"/>
  </si>
  <si>
    <t>5/8補</t>
    <phoneticPr fontId="54" type="noConversion"/>
  </si>
  <si>
    <t>v</t>
    <phoneticPr fontId="54" type="noConversion"/>
  </si>
  <si>
    <t>5/8收合約票10萬*3張</t>
    <phoneticPr fontId="54" type="noConversion"/>
  </si>
  <si>
    <t>4/30補</t>
    <phoneticPr fontId="54" type="noConversion"/>
  </si>
  <si>
    <t>4/30收合約票10萬*3張 #1150430010</t>
    <phoneticPr fontId="54" type="noConversion"/>
  </si>
  <si>
    <t>115/07/31</t>
    <phoneticPr fontId="54" type="noConversion"/>
  </si>
  <si>
    <t>115/06/30</t>
    <phoneticPr fontId="54" type="noConversion"/>
  </si>
  <si>
    <t>4/30收合約票10萬*3張 #1150430012</t>
    <phoneticPr fontId="54" type="noConversion"/>
  </si>
  <si>
    <t>5/5補</t>
    <phoneticPr fontId="54" type="noConversion"/>
  </si>
  <si>
    <t>5/5收合約票10萬*3張 #1150505002</t>
    <phoneticPr fontId="54" type="noConversion"/>
  </si>
  <si>
    <t xml:space="preserve">安帝嘉 2026年 04月份-簽約客戶表    </t>
    <phoneticPr fontId="54" type="noConversion"/>
  </si>
  <si>
    <t>115/04月沖帳金額</t>
    <phoneticPr fontId="54" type="noConversion"/>
  </si>
  <si>
    <t>4月沖帳</t>
    <phoneticPr fontId="54" type="noConversion"/>
  </si>
  <si>
    <t>4月餘額</t>
    <phoneticPr fontId="54" type="noConversion"/>
  </si>
  <si>
    <t>4/15收合約票5萬*6張 /沖#1150415001</t>
    <phoneticPr fontId="54" type="noConversion"/>
  </si>
  <si>
    <t>4/15補</t>
    <phoneticPr fontId="54" type="noConversion"/>
  </si>
  <si>
    <t>新簽約</t>
    <phoneticPr fontId="54" type="noConversion"/>
  </si>
  <si>
    <t>祥鈦</t>
    <phoneticPr fontId="54" type="noConversion"/>
  </si>
  <si>
    <t>4/17新</t>
    <phoneticPr fontId="54" type="noConversion"/>
  </si>
  <si>
    <t>4月新簽約；4/17收(體驗)合約票3萬*3張</t>
    <phoneticPr fontId="54" type="noConversion"/>
  </si>
  <si>
    <t>5/21補</t>
    <phoneticPr fontId="54" type="noConversion"/>
  </si>
  <si>
    <t>5/21補合約票 5萬*6張 #1150521005</t>
    <phoneticPr fontId="54" type="noConversion"/>
  </si>
  <si>
    <t>115/11/30</t>
    <phoneticPr fontId="54" type="noConversion"/>
  </si>
  <si>
    <t>v</t>
    <phoneticPr fontId="54" type="noConversion"/>
  </si>
  <si>
    <t>5/20補</t>
    <phoneticPr fontId="54" type="noConversion"/>
  </si>
  <si>
    <t>5/20補合約票 10萬*3張 #1150520001</t>
    <phoneticPr fontId="54" type="noConversion"/>
  </si>
  <si>
    <t>5/4補</t>
    <phoneticPr fontId="54" type="noConversion"/>
  </si>
  <si>
    <t>5/4補合約票 10萬*3張 #1150504002</t>
    <phoneticPr fontId="54" type="noConversion"/>
  </si>
  <si>
    <t>v</t>
    <phoneticPr fontId="54" type="noConversion"/>
  </si>
  <si>
    <t>沖#1140324007</t>
    <phoneticPr fontId="54" type="noConversion"/>
  </si>
  <si>
    <t>B053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</si>
  <si>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</si>
  <si>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</si>
  <si>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</si>
  <si>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115/05/18</t>
    <phoneticPr fontId="54" type="noConversion"/>
  </si>
  <si>
    <t>5/18補</t>
    <phoneticPr fontId="54" type="noConversion"/>
  </si>
  <si>
    <t>5/18收現金5萬 (第1期/共6期) #1150518001</t>
    <phoneticPr fontId="54" type="noConversion"/>
  </si>
  <si>
    <t>5/27補</t>
    <phoneticPr fontId="54" type="noConversion"/>
  </si>
  <si>
    <t>5/27收合約票10萬*3張 #1150527013</t>
    <phoneticPr fontId="54" type="noConversion"/>
  </si>
  <si>
    <t>5/27客訴扣貨款$1000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</si>
  <si>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</si>
  <si>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</si>
  <si>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</si>
  <si>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5/25補</t>
    <phoneticPr fontId="54" type="noConversion"/>
  </si>
  <si>
    <t>115/08/31</t>
    <phoneticPr fontId="54" type="noConversion"/>
  </si>
  <si>
    <t>3/24收合約票10萬*3張；5/25收</t>
    <phoneticPr fontId="54" type="noConversion"/>
  </si>
  <si>
    <t>115/05月沖帳金額</t>
    <phoneticPr fontId="54" type="noConversion"/>
  </si>
  <si>
    <t xml:space="preserve">安帝嘉 2026年 05月份-簽約客戶表    </t>
    <phoneticPr fontId="54" type="noConversion"/>
  </si>
  <si>
    <t>04月餘額</t>
    <phoneticPr fontId="54" type="noConversion"/>
  </si>
  <si>
    <t>05月沖帳</t>
    <phoneticPr fontId="54" type="noConversion"/>
  </si>
  <si>
    <t>05月餘額</t>
    <phoneticPr fontId="54" type="noConversion"/>
  </si>
  <si>
    <t>4/27補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</si>
  <si>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</si>
  <si>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</si>
  <si>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</si>
  <si>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v</t>
    <phoneticPr fontId="54" type="noConversion"/>
  </si>
  <si>
    <t>115/6/24收合約票 5萬*6張 #1150624009</t>
    <phoneticPr fontId="54" type="noConversion"/>
  </si>
  <si>
    <t>6/24補</t>
    <phoneticPr fontId="54" type="noConversion"/>
  </si>
  <si>
    <t>115/5/27收合約票10萬*3張 /沖#1150527015</t>
    <phoneticPr fontId="54" type="noConversion"/>
  </si>
  <si>
    <t>v</t>
    <phoneticPr fontId="54" type="noConversion"/>
  </si>
  <si>
    <t>115/6/25收合約票5萬*6張#1150625004</t>
    <phoneticPr fontId="54" type="noConversion"/>
  </si>
  <si>
    <t>6/25補</t>
    <phoneticPr fontId="54" type="noConversion"/>
  </si>
  <si>
    <t>v</t>
    <phoneticPr fontId="54" type="noConversion"/>
  </si>
  <si>
    <t>115/07/05</t>
    <phoneticPr fontId="54" type="noConversion"/>
  </si>
  <si>
    <t>115/6/25 收票10萬*3張 /沖#1150625024</t>
    <phoneticPr fontId="54" type="noConversion"/>
  </si>
  <si>
    <t>v</t>
    <phoneticPr fontId="54" type="noConversion"/>
  </si>
  <si>
    <t>115/12/31</t>
    <phoneticPr fontId="54" type="noConversion"/>
  </si>
  <si>
    <t>6/29補</t>
    <phoneticPr fontId="54" type="noConversion"/>
  </si>
  <si>
    <t>115/6/29 收票5萬*6張 /沖#1150629003</t>
    <phoneticPr fontId="54" type="noConversion"/>
  </si>
  <si>
    <t>v</t>
    <phoneticPr fontId="54" type="noConversion"/>
  </si>
  <si>
    <t>孫宇宏</t>
    <phoneticPr fontId="54" type="noConversion"/>
  </si>
  <si>
    <t>陳元勲</t>
    <phoneticPr fontId="54" type="noConversion"/>
  </si>
  <si>
    <t>陳唯凱</t>
    <phoneticPr fontId="54" type="noConversion"/>
  </si>
  <si>
    <t xml:space="preserve">安帝嘉 2026年 06月份-簽約客戶表    </t>
    <phoneticPr fontId="54" type="noConversion"/>
  </si>
  <si>
    <t>06月沖帳</t>
    <phoneticPr fontId="54" type="noConversion"/>
  </si>
  <si>
    <t>06月餘額</t>
    <phoneticPr fontId="54" type="noConversion"/>
  </si>
  <si>
    <t>115/06月沖帳金額</t>
    <phoneticPr fontId="54" type="noConversion"/>
  </si>
  <si>
    <t>大理,達利,旭峯,領航建材</t>
    <phoneticPr fontId="54" type="noConversion"/>
  </si>
  <si>
    <t>沖#1140326007</t>
    <phoneticPr fontId="54" type="noConversion"/>
  </si>
  <si>
    <t>沖#1140509001</t>
    <phoneticPr fontId="54" type="noConversion"/>
  </si>
  <si>
    <t>沖#1140123002</t>
    <phoneticPr fontId="54" type="noConversion"/>
  </si>
  <si>
    <t>敏業,信義星,國強,威麟,興昱</t>
    <phoneticPr fontId="54" type="noConversion"/>
  </si>
  <si>
    <t>沖#1140328008</t>
    <phoneticPr fontId="54" type="noConversion"/>
  </si>
  <si>
    <t>沖#1140416001</t>
    <phoneticPr fontId="54" type="noConversion"/>
  </si>
  <si>
    <t>沖#1140528021</t>
    <phoneticPr fontId="54" type="noConversion"/>
  </si>
  <si>
    <t>沖#1140821007</t>
    <phoneticPr fontId="54" type="noConversion"/>
  </si>
  <si>
    <t>沖#1140227005</t>
    <phoneticPr fontId="54" type="noConversion"/>
  </si>
  <si>
    <t>沖#1140624009</t>
    <phoneticPr fontId="54" type="noConversion"/>
  </si>
  <si>
    <t>沖#1140701001</t>
    <phoneticPr fontId="54" type="noConversion"/>
  </si>
  <si>
    <t>沖#1140926001</t>
    <phoneticPr fontId="54" type="noConversion"/>
  </si>
  <si>
    <t>大盟</t>
  </si>
  <si>
    <t>浩思</t>
  </si>
  <si>
    <t>三能</t>
  </si>
  <si>
    <t>彩越</t>
  </si>
  <si>
    <t>合品</t>
  </si>
  <si>
    <t>和豐</t>
  </si>
  <si>
    <t>鼎展建材</t>
  </si>
  <si>
    <t>114/4月新簽約；4/17收(體驗)合約票3萬*3張</t>
    <phoneticPr fontId="54" type="noConversion"/>
  </si>
  <si>
    <t>114/1月新簽約</t>
    <phoneticPr fontId="54" type="noConversion"/>
  </si>
  <si>
    <t>7/16補</t>
    <phoneticPr fontId="54" type="noConversion"/>
  </si>
  <si>
    <t>v</t>
    <phoneticPr fontId="54" type="noConversion"/>
  </si>
  <si>
    <t>115/7/16 收票10萬*3張 /沖#1150716003</t>
    <phoneticPr fontId="54" type="noConversion"/>
  </si>
  <si>
    <t>v</t>
    <phoneticPr fontId="54" type="noConversion"/>
  </si>
  <si>
    <t>7/22補</t>
    <phoneticPr fontId="54" type="noConversion"/>
  </si>
  <si>
    <t>115/7/22 合約票10萬*3張 /沖#1150722006</t>
    <phoneticPr fontId="54" type="noConversion"/>
  </si>
  <si>
    <t>v</t>
    <phoneticPr fontId="54" type="noConversion"/>
  </si>
  <si>
    <t>115/7/22 合約票5萬*6張 /沖#1150722007</t>
    <phoneticPr fontId="54" type="noConversion"/>
  </si>
  <si>
    <t>v</t>
    <phoneticPr fontId="54" type="noConversion"/>
  </si>
  <si>
    <t>v</t>
    <phoneticPr fontId="54" type="noConversion"/>
  </si>
  <si>
    <t>7/24補</t>
    <phoneticPr fontId="54" type="noConversion"/>
  </si>
  <si>
    <t>115/07/24 收票5萬*3張 /沖#150724020</t>
    <phoneticPr fontId="54" type="noConversion"/>
  </si>
  <si>
    <t>5/18收現金5萬 (第1期/共6期) #1150518001</t>
    <phoneticPr fontId="54" type="noConversion"/>
  </si>
  <si>
    <t>v</t>
    <phoneticPr fontId="54" type="noConversion"/>
  </si>
  <si>
    <t>v</t>
    <phoneticPr fontId="54" type="noConversion"/>
  </si>
  <si>
    <t>115/07/28</t>
    <phoneticPr fontId="54" type="noConversion"/>
  </si>
  <si>
    <t>v</t>
    <phoneticPr fontId="54" type="noConversion"/>
  </si>
  <si>
    <t>115/7/24 收票10萬*3張 /沖#1150724021</t>
    <phoneticPr fontId="54" type="noConversion"/>
  </si>
  <si>
    <t xml:space="preserve">安帝嘉 2026年 07月份-簽約客戶表    </t>
    <phoneticPr fontId="54" type="noConversion"/>
  </si>
  <si>
    <t>07月沖帳</t>
    <phoneticPr fontId="54" type="noConversion"/>
  </si>
  <si>
    <t>07月餘額</t>
    <phoneticPr fontId="54" type="noConversion"/>
  </si>
  <si>
    <t>115/07月沖帳金額</t>
    <phoneticPr fontId="54" type="noConversion"/>
  </si>
  <si>
    <t>115/6/25 收合約票5萬*6張 /沖#1150625004</t>
    <phoneticPr fontId="54" type="noConversion"/>
  </si>
  <si>
    <t>115/6/24 收合約票 5萬*6張 /沖#1150624009</t>
    <phoneticPr fontId="54" type="noConversion"/>
  </si>
  <si>
    <t>當月餘額(紀錄)</t>
    <phoneticPr fontId="54" type="noConversion"/>
  </si>
  <si>
    <t>每月簽約總額</t>
    <phoneticPr fontId="54" type="noConversion"/>
  </si>
  <si>
    <t>本月簽約實銷</t>
    <phoneticPr fontId="54" type="noConversion"/>
  </si>
  <si>
    <t>簽約金健康度</t>
    <phoneticPr fontId="54" type="noConversion"/>
  </si>
  <si>
    <t>簽約總數</t>
    <phoneticPr fontId="54" type="noConversion"/>
  </si>
  <si>
    <t>大盟,百達富利,浩思,三能,彩越,洛居,
合品,和豐,鼎展,嘉品</t>
    <phoneticPr fontId="54" type="noConversion"/>
  </si>
  <si>
    <t>協盛,琮崴,立曄,夏綠蒂,利鴻廣,睿敏,
如笙,義發,家躍,豐邑</t>
    <phoneticPr fontId="54" type="noConversion"/>
  </si>
  <si>
    <t>115/07/31</t>
  </si>
  <si>
    <t>115/07/24 收票5萬*3張 /沖#1150724020</t>
    <phoneticPr fontId="54" type="noConversion"/>
  </si>
  <si>
    <t>協盛,立曄,夏綠蒂,如笙</t>
    <phoneticPr fontId="54" type="noConversion"/>
  </si>
  <si>
    <t>關鵬,大永,琮崴,東春,顧佳,金磚,利鴻廣,聖文建材,睿敏,義發,家躍,豐邑,百磚</t>
    <phoneticPr fontId="54" type="noConversion"/>
  </si>
  <si>
    <t>敏業,信義星,國強五金,百達富利,洛居,威麟,興昱</t>
    <phoneticPr fontId="54" type="noConversion"/>
  </si>
  <si>
    <t>新永興</t>
  </si>
  <si>
    <t>好好</t>
  </si>
  <si>
    <t>弘琩</t>
  </si>
  <si>
    <t>大盟,浩思,三能,新永興,彩越,合品,好好,弘琩,和豐,鼎展建材</t>
  </si>
  <si>
    <t>大盟,浩思,三能,新永興,彩越,合品,好好,弘琩,和豐,鼎展</t>
    <phoneticPr fontId="5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</si>
</sst>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$&quot;#,##0_);[Red]\(&quot;$&quot;#,##0\)"/>
    <numFmt numFmtId="177" formatCode="_-&quot;$&quot;* #,##0_-;\-&quot;$&quot;* #,##0_-;_-&quot;$&quot;* &quot;-&quot;??_-;_-@_-"/>
    <numFmt numFmtId="178" formatCode="0_ "/>
    <numFmt numFmtId="179" formatCode="_-* #,##0_-;\-* #,##0_-;_-* &quot;-&quot;??_-;_-@_-"/>
    <numFmt numFmtId="180" formatCode="m&quot;月&quot;d&quot;日&quot;"/>
    <numFmt numFmtId="181" formatCode="#,##0_);[Red]\(#,##0\)"/>
  </numFmts>
  <fonts count="72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4"/>
      <color theme="1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 tint="4.9989318521683403E-2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1"/>
      <name val="微软雅黑 Light"/>
      <family val="2"/>
      <charset val="134"/>
    </font>
    <font>
      <b/>
      <sz val="22"/>
      <color theme="1"/>
      <name val="微软雅黑 Light"/>
      <family val="2"/>
      <charset val="134"/>
    </font>
    <font>
      <sz val="12"/>
      <color theme="1"/>
      <name val="微软雅黑 Light"/>
      <family val="2"/>
      <charset val="134"/>
    </font>
    <font>
      <sz val="14"/>
      <color theme="1"/>
      <name val="微软雅黑 Light"/>
      <family val="2"/>
      <charset val="134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53" fillId="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/>
    <xf numFmtId="43" fontId="62" fillId="0" borderId="0" applyFont="0" applyFill="0" applyBorder="0" applyAlignment="0" applyProtection="0">
      <alignment vertical="center"/>
    </xf>
    <xf numFmtId="44" fontId="62" fillId="0" borderId="0" applyFont="0" applyFill="0" applyBorder="0" applyAlignment="0" applyProtection="0">
      <alignment vertical="center"/>
    </xf>
    <xf numFmtId="44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</cellStyleXfs>
  <cellXfs count="257">
    <xf numFmtId="0" fontId="0" fillId="0" borderId="0" xfId="0">
      <alignment vertical="center"/>
    </xf>
    <xf numFmtId="0" fontId="58" fillId="0" borderId="1" xfId="1" applyFont="1" applyFill="1" applyBorder="1" applyAlignment="1">
      <alignment horizontal="center" vertical="center"/>
    </xf>
    <xf numFmtId="176" fontId="58" fillId="0" borderId="1" xfId="1" applyNumberFormat="1" applyFont="1" applyFill="1" applyBorder="1" applyAlignment="1">
      <alignment horizontal="right" vertical="center"/>
    </xf>
    <xf numFmtId="176" fontId="59" fillId="0" borderId="1" xfId="1" applyNumberFormat="1" applyFont="1" applyFill="1" applyBorder="1" applyProtection="1">
      <alignment vertical="center"/>
    </xf>
    <xf numFmtId="0" fontId="60" fillId="0" borderId="1" xfId="0" applyFont="1" applyBorder="1" applyAlignment="1">
      <alignment horizontal="center" vertical="center"/>
    </xf>
    <xf numFmtId="0" fontId="58" fillId="0" borderId="1" xfId="1" applyFont="1" applyFill="1" applyBorder="1" applyAlignment="1">
      <alignment horizontal="left" vertical="center"/>
    </xf>
    <xf numFmtId="178" fontId="58" fillId="0" borderId="1" xfId="1" applyNumberFormat="1" applyFont="1" applyFill="1" applyBorder="1" applyAlignment="1">
      <alignment horizontal="center" vertical="center"/>
    </xf>
    <xf numFmtId="3" fontId="58" fillId="0" borderId="1" xfId="1" applyNumberFormat="1" applyFont="1" applyFill="1" applyBorder="1" applyAlignment="1">
      <alignment horizontal="center" vertical="center"/>
    </xf>
    <xf numFmtId="0" fontId="61" fillId="3" borderId="1" xfId="1" applyFont="1" applyFill="1" applyBorder="1" applyAlignment="1">
      <alignment horizontal="center" vertical="center"/>
    </xf>
    <xf numFmtId="0" fontId="61" fillId="5" borderId="1" xfId="1" applyFont="1" applyFill="1" applyBorder="1" applyAlignment="1">
      <alignment horizontal="center" vertical="center"/>
    </xf>
    <xf numFmtId="14" fontId="58" fillId="0" borderId="1" xfId="1" applyNumberFormat="1" applyFont="1" applyFill="1" applyBorder="1" applyAlignment="1">
      <alignment horizontal="left" vertical="center"/>
    </xf>
    <xf numFmtId="179" fontId="60" fillId="0" borderId="1" xfId="4" applyNumberFormat="1" applyFont="1" applyFill="1" applyBorder="1" applyAlignment="1">
      <alignment horizontal="center" vertical="center"/>
    </xf>
    <xf numFmtId="179" fontId="58" fillId="0" borderId="1" xfId="4" applyNumberFormat="1" applyFont="1" applyFill="1" applyBorder="1" applyAlignment="1">
      <alignment horizontal="center" vertical="center"/>
    </xf>
    <xf numFmtId="0" fontId="61" fillId="6" borderId="1" xfId="1" applyFont="1" applyFill="1" applyBorder="1" applyAlignment="1">
      <alignment horizontal="center" vertical="center"/>
    </xf>
    <xf numFmtId="0" fontId="57" fillId="6" borderId="1" xfId="2" applyFont="1" applyFill="1" applyBorder="1" applyAlignment="1">
      <alignment horizontal="center" vertical="center"/>
    </xf>
    <xf numFmtId="180" fontId="58" fillId="0" borderId="1" xfId="1" applyNumberFormat="1" applyFont="1" applyFill="1" applyBorder="1" applyAlignment="1">
      <alignment horizontal="left" vertical="center"/>
    </xf>
    <xf numFmtId="0" fontId="57" fillId="5" borderId="1" xfId="2" applyFont="1" applyFill="1" applyBorder="1" applyAlignment="1">
      <alignment horizontal="center" vertical="center"/>
    </xf>
    <xf numFmtId="0" fontId="57" fillId="0" borderId="1" xfId="2" applyFont="1" applyFill="1" applyBorder="1" applyAlignment="1">
      <alignment horizontal="center" vertical="center"/>
    </xf>
    <xf numFmtId="0" fontId="57" fillId="3" borderId="1" xfId="2" applyFont="1" applyFill="1" applyBorder="1" applyAlignment="1">
      <alignment horizontal="center" vertical="center"/>
    </xf>
    <xf numFmtId="0" fontId="60" fillId="0" borderId="0" xfId="0" applyFont="1">
      <alignment vertical="center"/>
    </xf>
    <xf numFmtId="180" fontId="60" fillId="0" borderId="0" xfId="0" applyNumberFormat="1" applyFont="1">
      <alignment vertical="center"/>
    </xf>
    <xf numFmtId="0" fontId="60" fillId="0" borderId="0" xfId="0" applyFont="1" applyAlignment="1">
      <alignment horizontal="center" vertical="center"/>
    </xf>
    <xf numFmtId="176" fontId="58" fillId="8" borderId="1" xfId="1" applyNumberFormat="1" applyFont="1" applyFill="1" applyBorder="1" applyAlignment="1">
      <alignment horizontal="right" vertical="center"/>
    </xf>
    <xf numFmtId="0" fontId="58" fillId="7" borderId="1" xfId="1" applyFont="1" applyFill="1" applyBorder="1" applyAlignment="1">
      <alignment horizontal="left" vertical="center"/>
    </xf>
    <xf numFmtId="180" fontId="58" fillId="7" borderId="1" xfId="1" applyNumberFormat="1" applyFont="1" applyFill="1" applyBorder="1" applyAlignment="1">
      <alignment horizontal="left" vertical="center"/>
    </xf>
    <xf numFmtId="0" fontId="61" fillId="7" borderId="1" xfId="1" applyFont="1" applyFill="1" applyBorder="1" applyAlignment="1">
      <alignment horizontal="center" vertical="center"/>
    </xf>
    <xf numFmtId="0" fontId="58" fillId="11" borderId="1" xfId="1" applyFont="1" applyFill="1" applyBorder="1" applyAlignment="1">
      <alignment horizontal="left" vertical="center"/>
    </xf>
    <xf numFmtId="180" fontId="58" fillId="11" borderId="1" xfId="1" applyNumberFormat="1" applyFont="1" applyFill="1" applyBorder="1" applyAlignment="1">
      <alignment horizontal="left" vertical="center"/>
    </xf>
    <xf numFmtId="0" fontId="63" fillId="0" borderId="0" xfId="0" applyFont="1">
      <alignment vertical="center"/>
    </xf>
    <xf numFmtId="0" fontId="63" fillId="0" borderId="0" xfId="0" applyFont="1" applyAlignment="1">
      <alignment horizontal="center" vertical="center"/>
    </xf>
    <xf numFmtId="0" fontId="57" fillId="7" borderId="1" xfId="2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58" fillId="5" borderId="1" xfId="1" applyFont="1" applyFill="1" applyBorder="1" applyAlignment="1">
      <alignment horizontal="left" vertical="center"/>
    </xf>
    <xf numFmtId="180" fontId="58" fillId="5" borderId="1" xfId="1" applyNumberFormat="1" applyFont="1" applyFill="1" applyBorder="1" applyAlignment="1">
      <alignment horizontal="left" vertical="center"/>
    </xf>
    <xf numFmtId="0" fontId="60" fillId="0" borderId="0" xfId="0" applyFont="1" applyAlignment="1">
      <alignment vertical="center" wrapText="1"/>
    </xf>
    <xf numFmtId="0" fontId="60" fillId="0" borderId="1" xfId="0" applyFont="1" applyBorder="1">
      <alignment vertical="center"/>
    </xf>
    <xf numFmtId="179" fontId="60" fillId="0" borderId="1" xfId="4" applyNumberFormat="1" applyFont="1" applyBorder="1" applyAlignment="1">
      <alignment horizontal="center" vertical="center"/>
    </xf>
    <xf numFmtId="9" fontId="67" fillId="0" borderId="1" xfId="0" applyNumberFormat="1" applyFont="1" applyBorder="1" applyAlignment="1">
      <alignment horizontal="center" vertical="center"/>
    </xf>
    <xf numFmtId="177" fontId="60" fillId="0" borderId="0" xfId="0" applyNumberFormat="1" applyFont="1" applyAlignment="1">
      <alignment horizontal="center" vertical="center"/>
    </xf>
    <xf numFmtId="179" fontId="60" fillId="0" borderId="0" xfId="4" applyNumberFormat="1" applyFont="1" applyAlignment="1">
      <alignment horizontal="center" vertical="center"/>
    </xf>
    <xf numFmtId="0" fontId="60" fillId="0" borderId="0" xfId="0" quotePrefix="1" applyFont="1">
      <alignment vertical="center"/>
    </xf>
    <xf numFmtId="181" fontId="60" fillId="0" borderId="0" xfId="4" applyNumberFormat="1" applyFont="1">
      <alignment vertical="center"/>
    </xf>
    <xf numFmtId="181" fontId="60" fillId="0" borderId="0" xfId="4" applyNumberFormat="1" applyFont="1" applyAlignment="1">
      <alignment horizontal="center" vertical="center"/>
    </xf>
    <xf numFmtId="181" fontId="63" fillId="0" borderId="0" xfId="4" applyNumberFormat="1" applyFont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0" applyFont="1">
      <alignment vertical="center"/>
    </xf>
    <xf numFmtId="0" fontId="50" fillId="0" borderId="0" xfId="0" applyFont="1">
      <alignment vertical="center"/>
    </xf>
    <xf numFmtId="0" fontId="49" fillId="0" borderId="0" xfId="0" applyFont="1">
      <alignment vertical="center"/>
    </xf>
    <xf numFmtId="0" fontId="48" fillId="0" borderId="0" xfId="0" applyFont="1">
      <alignment vertical="center"/>
    </xf>
    <xf numFmtId="0" fontId="64" fillId="16" borderId="0" xfId="0" applyFont="1" applyFill="1" applyAlignment="1">
      <alignment horizontal="center" vertical="center"/>
    </xf>
    <xf numFmtId="0" fontId="47" fillId="0" borderId="0" xfId="0" applyFont="1">
      <alignment vertical="center"/>
    </xf>
    <xf numFmtId="180" fontId="47" fillId="0" borderId="0" xfId="0" applyNumberFormat="1" applyFont="1">
      <alignment vertical="center"/>
    </xf>
    <xf numFmtId="0" fontId="46" fillId="0" borderId="0" xfId="0" applyFont="1">
      <alignment vertical="center"/>
    </xf>
    <xf numFmtId="0" fontId="45" fillId="0" borderId="0" xfId="0" applyFont="1">
      <alignment vertical="center"/>
    </xf>
    <xf numFmtId="0" fontId="45" fillId="17" borderId="0" xfId="0" applyFont="1" applyFill="1">
      <alignment vertical="center"/>
    </xf>
    <xf numFmtId="180" fontId="58" fillId="17" borderId="1" xfId="1" applyNumberFormat="1" applyFont="1" applyFill="1" applyBorder="1" applyAlignment="1">
      <alignment horizontal="left" vertical="center"/>
    </xf>
    <xf numFmtId="0" fontId="58" fillId="17" borderId="1" xfId="1" applyFont="1" applyFill="1" applyBorder="1" applyAlignment="1">
      <alignment horizontal="left" vertical="center"/>
    </xf>
    <xf numFmtId="0" fontId="44" fillId="0" borderId="0" xfId="0" applyFont="1">
      <alignment vertical="center"/>
    </xf>
    <xf numFmtId="0" fontId="44" fillId="17" borderId="0" xfId="0" applyFont="1" applyFill="1">
      <alignment vertical="center"/>
    </xf>
    <xf numFmtId="0" fontId="43" fillId="0" borderId="0" xfId="0" applyFont="1">
      <alignment vertical="center"/>
    </xf>
    <xf numFmtId="0" fontId="43" fillId="17" borderId="0" xfId="0" applyFont="1" applyFill="1">
      <alignment vertical="center"/>
    </xf>
    <xf numFmtId="0" fontId="42" fillId="0" borderId="0" xfId="0" applyFont="1">
      <alignment vertical="center"/>
    </xf>
    <xf numFmtId="0" fontId="42" fillId="17" borderId="0" xfId="0" applyFont="1" applyFill="1">
      <alignment vertical="center"/>
    </xf>
    <xf numFmtId="0" fontId="41" fillId="17" borderId="0" xfId="0" applyFont="1" applyFill="1">
      <alignment vertical="center"/>
    </xf>
    <xf numFmtId="180" fontId="40" fillId="9" borderId="0" xfId="0" applyNumberFormat="1" applyFont="1" applyFill="1">
      <alignment vertical="center"/>
    </xf>
    <xf numFmtId="0" fontId="40" fillId="17" borderId="0" xfId="0" applyFont="1" applyFill="1">
      <alignment vertical="center"/>
    </xf>
    <xf numFmtId="0" fontId="40" fillId="0" borderId="0" xfId="0" applyFont="1">
      <alignment vertical="center"/>
    </xf>
    <xf numFmtId="0" fontId="40" fillId="9" borderId="0" xfId="0" applyFont="1" applyFill="1">
      <alignment vertical="center"/>
    </xf>
    <xf numFmtId="0" fontId="40" fillId="0" borderId="0" xfId="0" applyFont="1" applyAlignment="1">
      <alignment vertical="center" wrapText="1"/>
    </xf>
    <xf numFmtId="14" fontId="39" fillId="0" borderId="1" xfId="0" applyNumberFormat="1" applyFont="1" applyBorder="1" applyAlignment="1">
      <alignment horizontal="center" vertical="center"/>
    </xf>
    <xf numFmtId="0" fontId="57" fillId="10" borderId="1" xfId="2" applyFont="1" applyFill="1" applyBorder="1" applyAlignment="1">
      <alignment horizontal="center" vertical="center"/>
    </xf>
    <xf numFmtId="0" fontId="61" fillId="10" borderId="1" xfId="1" applyFont="1" applyFill="1" applyBorder="1" applyAlignment="1">
      <alignment horizontal="center" vertical="center"/>
    </xf>
    <xf numFmtId="0" fontId="46" fillId="17" borderId="0" xfId="0" applyFont="1" applyFill="1">
      <alignment vertical="center"/>
    </xf>
    <xf numFmtId="14" fontId="58" fillId="17" borderId="1" xfId="1" applyNumberFormat="1" applyFont="1" applyFill="1" applyBorder="1" applyAlignment="1">
      <alignment horizontal="left" vertical="center"/>
    </xf>
    <xf numFmtId="0" fontId="39" fillId="17" borderId="0" xfId="0" applyFont="1" applyFill="1">
      <alignment vertical="center"/>
    </xf>
    <xf numFmtId="0" fontId="38" fillId="0" borderId="0" xfId="0" applyFont="1">
      <alignment vertical="center"/>
    </xf>
    <xf numFmtId="0" fontId="38" fillId="11" borderId="0" xfId="0" applyFont="1" applyFill="1">
      <alignment vertical="center"/>
    </xf>
    <xf numFmtId="0" fontId="37" fillId="11" borderId="0" xfId="0" applyFont="1" applyFill="1">
      <alignment vertical="center"/>
    </xf>
    <xf numFmtId="0" fontId="36" fillId="0" borderId="0" xfId="0" applyFont="1">
      <alignment vertical="center"/>
    </xf>
    <xf numFmtId="0" fontId="36" fillId="18" borderId="0" xfId="0" applyFont="1" applyFill="1">
      <alignment vertical="center"/>
    </xf>
    <xf numFmtId="0" fontId="58" fillId="18" borderId="1" xfId="1" applyFont="1" applyFill="1" applyBorder="1" applyAlignment="1">
      <alignment horizontal="left" vertical="center"/>
    </xf>
    <xf numFmtId="180" fontId="35" fillId="0" borderId="0" xfId="0" applyNumberFormat="1" applyFont="1">
      <alignment vertical="center"/>
    </xf>
    <xf numFmtId="0" fontId="34" fillId="3" borderId="0" xfId="0" applyFont="1" applyFill="1">
      <alignment vertical="center"/>
    </xf>
    <xf numFmtId="180" fontId="34" fillId="0" borderId="0" xfId="0" applyNumberFormat="1" applyFont="1">
      <alignment vertical="center"/>
    </xf>
    <xf numFmtId="14" fontId="33" fillId="0" borderId="1" xfId="0" applyNumberFormat="1" applyFont="1" applyBorder="1" applyAlignment="1">
      <alignment horizontal="center" vertical="center"/>
    </xf>
    <xf numFmtId="0" fontId="58" fillId="11" borderId="1" xfId="1" applyFont="1" applyFill="1" applyBorder="1" applyAlignment="1">
      <alignment horizontal="center" vertical="center"/>
    </xf>
    <xf numFmtId="0" fontId="58" fillId="7" borderId="1" xfId="1" applyFont="1" applyFill="1" applyBorder="1" applyAlignment="1">
      <alignment horizontal="center" vertical="center"/>
    </xf>
    <xf numFmtId="180" fontId="58" fillId="0" borderId="1" xfId="1" applyNumberFormat="1" applyFont="1" applyFill="1" applyBorder="1" applyAlignment="1">
      <alignment horizontal="center" vertical="center"/>
    </xf>
    <xf numFmtId="180" fontId="58" fillId="11" borderId="1" xfId="1" applyNumberFormat="1" applyFont="1" applyFill="1" applyBorder="1" applyAlignment="1">
      <alignment horizontal="center" vertical="center"/>
    </xf>
    <xf numFmtId="0" fontId="58" fillId="5" borderId="1" xfId="1" applyFont="1" applyFill="1" applyBorder="1" applyAlignment="1">
      <alignment horizontal="center" vertical="center"/>
    </xf>
    <xf numFmtId="180" fontId="58" fillId="5" borderId="1" xfId="1" applyNumberFormat="1" applyFont="1" applyFill="1" applyBorder="1" applyAlignment="1">
      <alignment horizontal="center" vertical="center"/>
    </xf>
    <xf numFmtId="14" fontId="58" fillId="0" borderId="1" xfId="1" applyNumberFormat="1" applyFont="1" applyFill="1" applyBorder="1" applyAlignment="1">
      <alignment horizontal="center" vertical="center"/>
    </xf>
    <xf numFmtId="180" fontId="58" fillId="7" borderId="1" xfId="1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3" borderId="0" xfId="0" applyFont="1" applyFill="1">
      <alignment vertical="center"/>
    </xf>
    <xf numFmtId="0" fontId="32" fillId="11" borderId="0" xfId="0" applyFont="1" applyFill="1">
      <alignment vertical="center"/>
    </xf>
    <xf numFmtId="14" fontId="58" fillId="7" borderId="1" xfId="1" applyNumberFormat="1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31" fillId="12" borderId="0" xfId="0" applyFont="1" applyFill="1">
      <alignment vertical="center"/>
    </xf>
    <xf numFmtId="180" fontId="58" fillId="12" borderId="1" xfId="1" applyNumberFormat="1" applyFont="1" applyFill="1" applyBorder="1" applyAlignment="1">
      <alignment horizontal="center" vertical="center"/>
    </xf>
    <xf numFmtId="0" fontId="58" fillId="12" borderId="1" xfId="1" applyFont="1" applyFill="1" applyBorder="1" applyAlignment="1">
      <alignment horizontal="center" vertical="center"/>
    </xf>
    <xf numFmtId="0" fontId="30" fillId="12" borderId="0" xfId="0" applyFont="1" applyFill="1">
      <alignment vertical="center"/>
    </xf>
    <xf numFmtId="180" fontId="30" fillId="0" borderId="0" xfId="0" applyNumberFormat="1" applyFont="1">
      <alignment vertical="center"/>
    </xf>
    <xf numFmtId="14" fontId="29" fillId="0" borderId="1" xfId="0" applyNumberFormat="1" applyFont="1" applyBorder="1" applyAlignment="1">
      <alignment horizontal="center" vertical="center"/>
    </xf>
    <xf numFmtId="0" fontId="28" fillId="0" borderId="0" xfId="0" applyFont="1">
      <alignment vertical="center"/>
    </xf>
    <xf numFmtId="0" fontId="28" fillId="13" borderId="0" xfId="0" applyFont="1" applyFill="1">
      <alignment vertical="center"/>
    </xf>
    <xf numFmtId="0" fontId="58" fillId="13" borderId="1" xfId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27" fillId="13" borderId="0" xfId="0" applyFont="1" applyFill="1">
      <alignment vertical="center"/>
    </xf>
    <xf numFmtId="180" fontId="27" fillId="0" borderId="0" xfId="0" applyNumberFormat="1" applyFont="1">
      <alignment vertical="center"/>
    </xf>
    <xf numFmtId="180" fontId="58" fillId="13" borderId="1" xfId="1" applyNumberFormat="1" applyFont="1" applyFill="1" applyBorder="1" applyAlignment="1">
      <alignment horizontal="center" vertical="center"/>
    </xf>
    <xf numFmtId="180" fontId="26" fillId="0" borderId="0" xfId="0" applyNumberFormat="1" applyFont="1">
      <alignment vertical="center"/>
    </xf>
    <xf numFmtId="180" fontId="25" fillId="0" borderId="0" xfId="0" applyNumberFormat="1" applyFont="1">
      <alignment vertical="center"/>
    </xf>
    <xf numFmtId="0" fontId="25" fillId="13" borderId="0" xfId="0" applyFont="1" applyFill="1">
      <alignment vertical="center"/>
    </xf>
    <xf numFmtId="0" fontId="24" fillId="0" borderId="0" xfId="0" quotePrefix="1" applyFont="1">
      <alignment vertical="center"/>
    </xf>
    <xf numFmtId="0" fontId="24" fillId="0" borderId="0" xfId="0" applyFont="1">
      <alignment vertical="center"/>
    </xf>
    <xf numFmtId="0" fontId="24" fillId="19" borderId="1" xfId="0" applyFont="1" applyFill="1" applyBorder="1">
      <alignment vertical="center"/>
    </xf>
    <xf numFmtId="0" fontId="24" fillId="15" borderId="5" xfId="0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4" fillId="16" borderId="0" xfId="0" applyNumberFormat="1" applyFont="1" applyFill="1" applyAlignment="1">
      <alignment horizontal="center" vertical="center"/>
    </xf>
    <xf numFmtId="49" fontId="23" fillId="16" borderId="0" xfId="0" applyNumberFormat="1" applyFont="1" applyFill="1" applyAlignment="1">
      <alignment horizontal="center" vertical="center"/>
    </xf>
    <xf numFmtId="49" fontId="23" fillId="9" borderId="0" xfId="0" applyNumberFormat="1" applyFont="1" applyFill="1" applyAlignment="1">
      <alignment horizontal="center" vertical="center"/>
    </xf>
    <xf numFmtId="0" fontId="58" fillId="14" borderId="1" xfId="1" applyFont="1" applyFill="1" applyBorder="1" applyAlignment="1">
      <alignment horizontal="center" vertical="center"/>
    </xf>
    <xf numFmtId="0" fontId="22" fillId="14" borderId="0" xfId="0" applyFont="1" applyFill="1">
      <alignment vertical="center"/>
    </xf>
    <xf numFmtId="0" fontId="22" fillId="0" borderId="0" xfId="0" applyFont="1">
      <alignment vertical="center"/>
    </xf>
    <xf numFmtId="180" fontId="22" fillId="0" borderId="0" xfId="0" applyNumberFormat="1" applyFont="1">
      <alignment vertical="center"/>
    </xf>
    <xf numFmtId="180" fontId="58" fillId="14" borderId="1" xfId="1" applyNumberFormat="1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8" fillId="14" borderId="0" xfId="0" applyFont="1" applyFill="1">
      <alignment vertical="center"/>
    </xf>
    <xf numFmtId="0" fontId="25" fillId="14" borderId="0" xfId="0" applyFont="1" applyFill="1">
      <alignment vertical="center"/>
    </xf>
    <xf numFmtId="0" fontId="27" fillId="14" borderId="0" xfId="0" applyFont="1" applyFill="1">
      <alignment vertical="center"/>
    </xf>
    <xf numFmtId="0" fontId="20" fillId="0" borderId="0" xfId="0" applyFont="1">
      <alignment vertical="center"/>
    </xf>
    <xf numFmtId="0" fontId="20" fillId="14" borderId="0" xfId="0" applyFont="1" applyFill="1">
      <alignment vertical="center"/>
    </xf>
    <xf numFmtId="0" fontId="57" fillId="18" borderId="1" xfId="2" applyFont="1" applyFill="1" applyBorder="1" applyAlignment="1">
      <alignment horizontal="center" vertical="center"/>
    </xf>
    <xf numFmtId="0" fontId="61" fillId="18" borderId="1" xfId="1" applyFont="1" applyFill="1" applyBorder="1" applyAlignment="1">
      <alignment horizontal="center" vertical="center"/>
    </xf>
    <xf numFmtId="0" fontId="20" fillId="18" borderId="0" xfId="0" applyFont="1" applyFill="1">
      <alignment vertical="center"/>
    </xf>
    <xf numFmtId="0" fontId="58" fillId="18" borderId="1" xfId="1" applyFont="1" applyFill="1" applyBorder="1" applyAlignment="1">
      <alignment horizontal="center" vertical="center"/>
    </xf>
    <xf numFmtId="14" fontId="58" fillId="18" borderId="1" xfId="1" applyNumberFormat="1" applyFont="1" applyFill="1" applyBorder="1" applyAlignment="1">
      <alignment horizontal="center" vertical="center"/>
    </xf>
    <xf numFmtId="0" fontId="19" fillId="11" borderId="0" xfId="0" applyFont="1" applyFill="1">
      <alignment vertical="center"/>
    </xf>
    <xf numFmtId="0" fontId="19" fillId="0" borderId="0" xfId="0" applyFont="1">
      <alignment vertical="center"/>
    </xf>
    <xf numFmtId="180" fontId="19" fillId="0" borderId="0" xfId="0" applyNumberFormat="1" applyFont="1">
      <alignment vertical="center"/>
    </xf>
    <xf numFmtId="0" fontId="18" fillId="0" borderId="0" xfId="0" applyFont="1">
      <alignment vertical="center"/>
    </xf>
    <xf numFmtId="0" fontId="17" fillId="0" borderId="0" xfId="0" applyFont="1">
      <alignment vertical="center"/>
    </xf>
    <xf numFmtId="0" fontId="16" fillId="14" borderId="0" xfId="0" applyFont="1" applyFill="1">
      <alignment vertical="center"/>
    </xf>
    <xf numFmtId="0" fontId="16" fillId="0" borderId="0" xfId="0" applyFont="1">
      <alignment vertical="center"/>
    </xf>
    <xf numFmtId="0" fontId="15" fillId="14" borderId="0" xfId="0" applyFont="1" applyFill="1">
      <alignment vertical="center"/>
    </xf>
    <xf numFmtId="0" fontId="15" fillId="0" borderId="0" xfId="0" applyFont="1">
      <alignment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14" borderId="0" xfId="0" applyFont="1" applyFill="1">
      <alignment vertical="center"/>
    </xf>
    <xf numFmtId="0" fontId="24" fillId="0" borderId="11" xfId="0" applyFont="1" applyBorder="1">
      <alignment vertical="center"/>
    </xf>
    <xf numFmtId="0" fontId="13" fillId="0" borderId="3" xfId="0" applyFont="1" applyBorder="1">
      <alignment vertical="center"/>
    </xf>
    <xf numFmtId="0" fontId="12" fillId="0" borderId="0" xfId="0" applyFont="1">
      <alignment vertical="center"/>
    </xf>
    <xf numFmtId="180" fontId="58" fillId="10" borderId="1" xfId="1" applyNumberFormat="1" applyFont="1" applyFill="1" applyBorder="1" applyAlignment="1">
      <alignment horizontal="center" vertical="center"/>
    </xf>
    <xf numFmtId="0" fontId="12" fillId="10" borderId="0" xfId="0" applyFont="1" applyFill="1">
      <alignment vertical="center"/>
    </xf>
    <xf numFmtId="0" fontId="58" fillId="10" borderId="1" xfId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10" borderId="0" xfId="0" applyFont="1" applyFill="1">
      <alignment vertical="center"/>
    </xf>
    <xf numFmtId="0" fontId="10" fillId="9" borderId="0" xfId="0" applyFont="1" applyFill="1">
      <alignment vertical="center"/>
    </xf>
    <xf numFmtId="0" fontId="58" fillId="9" borderId="1" xfId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80" fontId="58" fillId="9" borderId="1" xfId="1" applyNumberFormat="1" applyFont="1" applyFill="1" applyBorder="1" applyAlignment="1">
      <alignment horizontal="center" vertical="center"/>
    </xf>
    <xf numFmtId="0" fontId="9" fillId="9" borderId="0" xfId="0" applyFont="1" applyFill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11" fillId="9" borderId="0" xfId="0" applyFont="1" applyFill="1">
      <alignment vertical="center"/>
    </xf>
    <xf numFmtId="0" fontId="12" fillId="9" borderId="0" xfId="0" applyFont="1" applyFill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80" fontId="7" fillId="0" borderId="0" xfId="0" applyNumberFormat="1" applyFont="1">
      <alignment vertical="center"/>
    </xf>
    <xf numFmtId="0" fontId="7" fillId="0" borderId="0" xfId="0" quotePrefix="1" applyFont="1">
      <alignment vertical="center"/>
    </xf>
    <xf numFmtId="0" fontId="7" fillId="18" borderId="0" xfId="0" applyFont="1" applyFill="1">
      <alignment vertical="center"/>
    </xf>
    <xf numFmtId="0" fontId="7" fillId="9" borderId="0" xfId="0" applyFont="1" applyFill="1">
      <alignment vertical="center"/>
    </xf>
    <xf numFmtId="0" fontId="6" fillId="0" borderId="0" xfId="0" applyFont="1">
      <alignment vertical="center"/>
    </xf>
    <xf numFmtId="180" fontId="6" fillId="0" borderId="0" xfId="0" applyNumberFormat="1" applyFont="1">
      <alignment vertical="center"/>
    </xf>
    <xf numFmtId="0" fontId="5" fillId="3" borderId="0" xfId="0" applyFont="1" applyFill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3" fillId="0" borderId="0" xfId="0" applyFont="1">
      <alignment vertical="center"/>
    </xf>
    <xf numFmtId="0" fontId="2" fillId="9" borderId="0" xfId="0" applyFont="1" applyFill="1">
      <alignment vertical="center"/>
    </xf>
    <xf numFmtId="0" fontId="2" fillId="0" borderId="0" xfId="0" applyFont="1">
      <alignment vertical="center"/>
    </xf>
    <xf numFmtId="0" fontId="60" fillId="0" borderId="1" xfId="0" applyFont="1" applyBorder="1" applyAlignment="1">
      <alignment horizontal="center" vertical="center"/>
    </xf>
    <xf numFmtId="177" fontId="66" fillId="4" borderId="1" xfId="5" applyNumberFormat="1" applyFont="1" applyFill="1" applyBorder="1" applyAlignment="1">
      <alignment horizontal="center" vertical="center"/>
    </xf>
    <xf numFmtId="0" fontId="60" fillId="0" borderId="3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/>
    </xf>
    <xf numFmtId="177" fontId="66" fillId="0" borderId="3" xfId="5" applyNumberFormat="1" applyFont="1" applyFill="1" applyBorder="1" applyAlignment="1">
      <alignment horizontal="center" vertical="center"/>
    </xf>
    <xf numFmtId="177" fontId="66" fillId="0" borderId="4" xfId="5" applyNumberFormat="1" applyFont="1" applyFill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0" fontId="13" fillId="15" borderId="6" xfId="0" applyFont="1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60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horizontal="center" vertical="center"/>
    </xf>
    <xf numFmtId="177" fontId="66" fillId="0" borderId="12" xfId="5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8" fillId="15" borderId="13" xfId="0" applyFont="1" applyFill="1" applyBorder="1" applyAlignment="1">
      <alignment horizontal="center" vertical="center"/>
    </xf>
    <xf numFmtId="0" fontId="68" fillId="15" borderId="14" xfId="0" applyFont="1" applyFill="1" applyBorder="1" applyAlignment="1">
      <alignment horizontal="center" vertical="center"/>
    </xf>
    <xf numFmtId="177" fontId="69" fillId="0" borderId="14" xfId="6" applyNumberFormat="1" applyFont="1" applyFill="1" applyBorder="1" applyAlignment="1">
      <alignment horizontal="center" vertical="center"/>
    </xf>
    <xf numFmtId="177" fontId="69" fillId="0" borderId="15" xfId="6" applyNumberFormat="1" applyFont="1" applyFill="1" applyBorder="1" applyAlignment="1">
      <alignment horizontal="center" vertical="center"/>
    </xf>
    <xf numFmtId="0" fontId="68" fillId="15" borderId="5" xfId="0" applyFont="1" applyFill="1" applyBorder="1" applyAlignment="1">
      <alignment horizontal="center" vertical="center"/>
    </xf>
    <xf numFmtId="0" fontId="68" fillId="15" borderId="1" xfId="0" applyFont="1" applyFill="1" applyBorder="1" applyAlignment="1">
      <alignment horizontal="center" vertical="center"/>
    </xf>
    <xf numFmtId="177" fontId="69" fillId="0" borderId="1" xfId="6" applyNumberFormat="1" applyFont="1" applyFill="1" applyBorder="1" applyAlignment="1">
      <alignment horizontal="center" vertical="center"/>
    </xf>
    <xf numFmtId="177" fontId="69" fillId="0" borderId="3" xfId="6" applyNumberFormat="1" applyFont="1" applyFill="1" applyBorder="1" applyAlignment="1">
      <alignment horizontal="center" vertical="center"/>
    </xf>
    <xf numFmtId="0" fontId="68" fillId="15" borderId="16" xfId="0" applyFont="1" applyFill="1" applyBorder="1" applyAlignment="1">
      <alignment horizontal="center" vertical="center"/>
    </xf>
    <xf numFmtId="0" fontId="68" fillId="15" borderId="17" xfId="0" applyFont="1" applyFill="1" applyBorder="1" applyAlignment="1">
      <alignment horizontal="center" vertical="center"/>
    </xf>
    <xf numFmtId="9" fontId="69" fillId="0" borderId="17" xfId="7" applyFont="1" applyFill="1" applyBorder="1" applyAlignment="1">
      <alignment horizontal="right" vertical="center"/>
    </xf>
    <xf numFmtId="9" fontId="69" fillId="0" borderId="18" xfId="7" applyFont="1" applyFill="1" applyBorder="1" applyAlignment="1">
      <alignment horizontal="right" vertical="center"/>
    </xf>
    <xf numFmtId="0" fontId="69" fillId="0" borderId="14" xfId="0" applyFont="1" applyBorder="1" applyAlignment="1">
      <alignment horizontal="center" vertical="center"/>
    </xf>
    <xf numFmtId="0" fontId="69" fillId="0" borderId="19" xfId="0" applyFont="1" applyBorder="1" applyAlignment="1">
      <alignment horizontal="center" vertical="center"/>
    </xf>
    <xf numFmtId="0" fontId="68" fillId="15" borderId="20" xfId="0" applyFont="1" applyFill="1" applyBorder="1" applyAlignment="1">
      <alignment horizontal="center" vertical="center"/>
    </xf>
    <xf numFmtId="0" fontId="68" fillId="15" borderId="4" xfId="0" applyFont="1" applyFill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/>
    </xf>
    <xf numFmtId="0" fontId="70" fillId="15" borderId="5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0" fillId="0" borderId="22" xfId="0" applyFont="1" applyBorder="1" applyAlignment="1">
      <alignment horizontal="center" vertical="center"/>
    </xf>
    <xf numFmtId="0" fontId="70" fillId="15" borderId="6" xfId="0" applyFont="1" applyFill="1" applyBorder="1" applyAlignment="1">
      <alignment horizontal="center" vertical="center"/>
    </xf>
    <xf numFmtId="0" fontId="7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70" fillId="15" borderId="9" xfId="0" applyFont="1" applyFill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70" fillId="15" borderId="9" xfId="0" applyFont="1" applyFill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70" fillId="0" borderId="25" xfId="0" applyFont="1" applyBorder="1" applyAlignment="1">
      <alignment horizontal="center" vertical="center" wrapText="1"/>
    </xf>
    <xf numFmtId="0" fontId="1" fillId="0" borderId="10" xfId="0" applyFont="1" applyBorder="1">
      <alignment vertical="center"/>
    </xf>
    <xf numFmtId="0" fontId="1" fillId="0" borderId="8" xfId="0" applyFont="1" applyBorder="1">
      <alignment vertical="center"/>
    </xf>
    <xf numFmtId="49" fontId="23" fillId="0" borderId="0" xfId="0" applyNumberFormat="1" applyFont="1" applyFill="1" applyAlignment="1">
      <alignment horizontal="center" vertical="center"/>
    </xf>
    <xf numFmtId="0" fontId="1" fillId="0" borderId="3" xfId="0" applyFont="1" applyBorder="1">
      <alignment vertical="center"/>
    </xf>
    <xf numFmtId="0" fontId="58" fillId="20" borderId="1" xfId="1" applyFont="1" applyFill="1" applyBorder="1" applyAlignment="1">
      <alignment horizontal="center" vertical="center"/>
    </xf>
    <xf numFmtId="180" fontId="58" fillId="20" borderId="1" xfId="1" applyNumberFormat="1" applyFont="1" applyFill="1" applyBorder="1" applyAlignment="1">
      <alignment horizontal="center" vertical="center"/>
    </xf>
    <xf numFmtId="0" fontId="10" fillId="20" borderId="0" xfId="0" applyFont="1" applyFill="1">
      <alignment vertical="center"/>
    </xf>
    <xf numFmtId="0" fontId="9" fillId="20" borderId="0" xfId="0" applyFont="1" applyFill="1">
      <alignment vertical="center"/>
    </xf>
    <xf numFmtId="0" fontId="5" fillId="20" borderId="0" xfId="0" applyFont="1" applyFill="1">
      <alignment vertical="center"/>
    </xf>
    <xf numFmtId="0" fontId="2" fillId="20" borderId="0" xfId="0" applyFont="1" applyFill="1">
      <alignment vertical="center"/>
    </xf>
    <xf numFmtId="0" fontId="4" fillId="20" borderId="0" xfId="0" applyFont="1" applyFill="1">
      <alignment vertical="center"/>
    </xf>
    <xf numFmtId="0" fontId="11" fillId="20" borderId="0" xfId="0" applyFont="1" applyFill="1">
      <alignment vertical="center"/>
    </xf>
    <xf numFmtId="0" fontId="12" fillId="20" borderId="0" xfId="0" applyFont="1" applyFill="1">
      <alignment vertical="center"/>
    </xf>
  </cellXfs>
  <cellStyles count="8">
    <cellStyle name="一般" xfId="0" builtinId="0"/>
    <cellStyle name="一般 2" xfId="3" xr:uid="{00000000-0005-0000-0000-000001000000}"/>
    <cellStyle name="千分位" xfId="4" builtinId="3"/>
    <cellStyle name="好" xfId="1" builtinId="26"/>
    <cellStyle name="百分比 2" xfId="7" xr:uid="{1EE6F6D9-406A-4E9C-8D7C-64D9060B4B7E}"/>
    <cellStyle name="貨幣" xfId="5" builtinId="4"/>
    <cellStyle name="貨幣 2" xfId="6" xr:uid="{A6283E13-FD9C-4DF7-8D7C-46621DBEB47E}"/>
    <cellStyle name="超連結" xfId="2" builtinId="8"/>
  </cellStyles>
  <dxfs count="0"/>
  <tableStyles count="0" defaultTableStyle="TableStyleMedium2" defaultPivotStyle="PivotStyleLight16"/>
  <colors>
    <mruColors>
      <color rgb="FFCCCCFF"/>
      <color rgb="FFCCECFF"/>
      <color rgb="FFFFFF99"/>
      <color rgb="FFFFCCFF"/>
      <color rgb="FFFFCC99"/>
      <color rgb="FF66CCFF"/>
      <color rgb="FF99FF99"/>
      <color rgb="FF66FFFF"/>
      <color rgb="FF66FF66"/>
      <color rgb="FFA9DA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ole/AppData/Roaming/Skype/My%20Skype%20Received%20Files/105&#24180;&#38928;&#25910;&#26126;&#32048;&#34920;-&#23433;&#24093;&#2202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類"/>
      <sheetName val="合約書總表"/>
      <sheetName val="A002關鵬"/>
      <sheetName val="A004大永"/>
      <sheetName val="A006伸堡"/>
      <sheetName val="A007懿晟"/>
      <sheetName val="A014協盛"/>
      <sheetName val="A020昇悅"/>
      <sheetName val="A021信義星"/>
      <sheetName val="A022大理"/>
      <sheetName val="A025璞城"/>
      <sheetName val="A028達利"/>
      <sheetName val="A029好仕齊"/>
      <sheetName val="A031誼麗"/>
      <sheetName val="A033琮崴"/>
      <sheetName val="A035虹達"/>
      <sheetName val="A036伊特"/>
      <sheetName val="A048東春"/>
      <sheetName val="A053勁揚(台北.高雄)"/>
      <sheetName val="A053勁揚(台北.高雄) 備份"/>
      <sheetName val="A059九峰"/>
      <sheetName val="A061全永"/>
      <sheetName val="A062永大"/>
      <sheetName val="A070辰熙"/>
      <sheetName val="A073德思特尼"/>
      <sheetName val="A085 金磚"/>
      <sheetName val="A087 百事得"/>
      <sheetName val="A093 品洧"/>
      <sheetName val="A096王子"/>
      <sheetName val="A098百宏"/>
      <sheetName val="B002義發"/>
      <sheetName val="B015喜地"/>
      <sheetName val="B013東昇"/>
      <sheetName val="B019錦良"/>
      <sheetName val="B023元久"/>
      <sheetName val="B032"/>
      <sheetName val="B040新錡"/>
      <sheetName val="B055再發"/>
      <sheetName val="C001百磚"/>
      <sheetName val="C002鼎康"/>
      <sheetName val="C004卡曼特"/>
      <sheetName val="C006陳記"/>
      <sheetName val="C007建金"/>
      <sheetName val="D001三羽"/>
      <sheetName val="D009東格"/>
      <sheetName val="D012 鼎展"/>
      <sheetName val="D015奕峰"/>
      <sheetName val="D020高詠"/>
      <sheetName val="D021三誜"/>
      <sheetName val="E003元禧"/>
      <sheetName val="F002丰格"/>
      <sheetName val="F006興昱"/>
      <sheetName val="F009春發"/>
      <sheetName val="Y019 嘉品"/>
    </sheetNames>
    <sheetDataSet>
      <sheetData sheetId="0">
        <row r="1">
          <cell r="A1" t="str">
            <v>合約分類</v>
          </cell>
          <cell r="B1" t="str">
            <v>結帳分類</v>
          </cell>
        </row>
        <row r="2">
          <cell r="A2" t="str">
            <v>100,000 × 1張</v>
          </cell>
          <cell r="B2" t="str">
            <v>季沖</v>
          </cell>
        </row>
        <row r="3">
          <cell r="A3" t="str">
            <v>100,000 × 3張</v>
          </cell>
          <cell r="B3" t="str">
            <v>季沖</v>
          </cell>
        </row>
        <row r="4">
          <cell r="A4" t="str">
            <v>100,000 × 5張</v>
          </cell>
          <cell r="B4" t="str">
            <v>季沖</v>
          </cell>
        </row>
        <row r="5">
          <cell r="A5" t="str">
            <v>100,000 × 6張</v>
          </cell>
          <cell r="B5" t="str">
            <v>季沖</v>
          </cell>
        </row>
        <row r="6">
          <cell r="A6" t="str">
            <v>100,000 × 12張</v>
          </cell>
          <cell r="B6" t="str">
            <v>季沖</v>
          </cell>
        </row>
        <row r="7">
          <cell r="A7" t="str">
            <v>150,000 × 3張</v>
          </cell>
          <cell r="B7" t="str">
            <v>季沖</v>
          </cell>
        </row>
        <row r="8">
          <cell r="A8" t="str">
            <v>200,000 × 3張</v>
          </cell>
          <cell r="B8" t="str">
            <v>季沖</v>
          </cell>
        </row>
        <row r="9">
          <cell r="A9" t="str">
            <v>200,000 × 6張</v>
          </cell>
          <cell r="B9" t="str">
            <v>季沖</v>
          </cell>
        </row>
        <row r="10">
          <cell r="A10" t="str">
            <v>30,000 × 10張</v>
          </cell>
          <cell r="B10" t="str">
            <v>月結</v>
          </cell>
        </row>
        <row r="11">
          <cell r="A11" t="str">
            <v>300,000 × 1張</v>
          </cell>
          <cell r="B11" t="str">
            <v>季沖</v>
          </cell>
        </row>
        <row r="12">
          <cell r="A12" t="str">
            <v>300,000 × 3張</v>
          </cell>
          <cell r="B12" t="str">
            <v>季沖</v>
          </cell>
        </row>
        <row r="13">
          <cell r="A13" t="str">
            <v>300,000 × 6張</v>
          </cell>
          <cell r="B13" t="str">
            <v>季沖</v>
          </cell>
        </row>
        <row r="14">
          <cell r="A14" t="str">
            <v>50,000 × 10張</v>
          </cell>
          <cell r="B14" t="str">
            <v>月結</v>
          </cell>
        </row>
        <row r="15">
          <cell r="A15" t="str">
            <v>50,000 × 3張</v>
          </cell>
          <cell r="B15" t="str">
            <v>月結</v>
          </cell>
        </row>
        <row r="16">
          <cell r="A16" t="str">
            <v>50,000 × 4張</v>
          </cell>
          <cell r="B16" t="str">
            <v>月結</v>
          </cell>
        </row>
        <row r="17">
          <cell r="A17" t="str">
            <v>50,000 × 6張</v>
          </cell>
          <cell r="B17" t="str">
            <v>月結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AF40-B0BB-49C3-A492-1E3FA70D19BC}">
  <sheetPr>
    <pageSetUpPr fitToPage="1"/>
  </sheetPr>
  <dimension ref="A1:T81"/>
  <sheetViews>
    <sheetView zoomScale="80" zoomScaleNormal="80" zoomScaleSheetLayoutView="90" workbookViewId="0">
      <pane ySplit="2" topLeftCell="A3" activePane="bottomLeft" state="frozen"/>
      <selection pane="bottomLeft" activeCell="N36" sqref="N36"/>
    </sheetView>
  </sheetViews>
  <sheetFormatPr defaultRowHeight="15.75"/>
  <cols>
    <col min="1" max="1" width="7.25" style="19" customWidth="1"/>
    <col min="2" max="2" width="12.125" style="19" customWidth="1"/>
    <col min="3" max="3" width="13.5" style="21" customWidth="1"/>
    <col min="4" max="4" width="9.875" style="21" customWidth="1"/>
    <col min="5" max="5" width="14.625" style="21" bestFit="1" customWidth="1"/>
    <col min="6" max="6" width="7.5" style="21" customWidth="1"/>
    <col min="7" max="7" width="14" style="39" customWidth="1"/>
    <col min="8" max="8" width="12.75" style="21" customWidth="1"/>
    <col min="9" max="9" width="14.5" style="21" customWidth="1"/>
    <col min="10" max="10" width="20.25" style="21" customWidth="1"/>
    <col min="11" max="11" width="14.75" style="19" customWidth="1"/>
    <col min="12" max="12" width="9" style="19"/>
    <col min="13" max="13" width="9" style="21" customWidth="1"/>
    <col min="14" max="14" width="46.625" style="19" bestFit="1" customWidth="1"/>
    <col min="15" max="15" width="14.375" style="19" customWidth="1"/>
    <col min="16" max="16" width="9" style="19" customWidth="1"/>
    <col min="17" max="18" width="15.25" style="41" customWidth="1"/>
    <col min="19" max="19" width="13" style="41" customWidth="1"/>
    <col min="20" max="20" width="9" style="19" customWidth="1"/>
    <col min="21" max="16384" width="9" style="19"/>
  </cols>
  <sheetData>
    <row r="1" spans="1:20" ht="33.75" customHeight="1">
      <c r="A1" s="195" t="s">
        <v>315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20" s="28" customFormat="1" ht="27" customHeight="1">
      <c r="A2" s="4" t="s">
        <v>5</v>
      </c>
      <c r="B2" s="4" t="s">
        <v>7</v>
      </c>
      <c r="C2" s="4" t="s">
        <v>4</v>
      </c>
      <c r="D2" s="4" t="s">
        <v>8</v>
      </c>
      <c r="E2" s="4" t="s">
        <v>3</v>
      </c>
      <c r="F2" s="4" t="s">
        <v>9</v>
      </c>
      <c r="G2" s="11" t="s">
        <v>2</v>
      </c>
      <c r="H2" s="4" t="s">
        <v>10</v>
      </c>
      <c r="I2" s="4" t="s">
        <v>11</v>
      </c>
      <c r="J2" s="69" t="s">
        <v>316</v>
      </c>
      <c r="K2" s="4" t="s">
        <v>1</v>
      </c>
      <c r="L2" s="28" t="s">
        <v>26</v>
      </c>
      <c r="M2" s="29" t="s">
        <v>271</v>
      </c>
      <c r="N2" s="19" t="s">
        <v>272</v>
      </c>
      <c r="O2" s="28" t="s">
        <v>273</v>
      </c>
      <c r="P2" s="28" t="s">
        <v>274</v>
      </c>
      <c r="Q2" s="43" t="s">
        <v>289</v>
      </c>
      <c r="R2" s="43" t="s">
        <v>317</v>
      </c>
      <c r="S2" s="43" t="s">
        <v>318</v>
      </c>
      <c r="T2" s="28" t="s">
        <v>271</v>
      </c>
    </row>
    <row r="3" spans="1:20" ht="27.75" customHeight="1">
      <c r="A3" s="17">
        <v>1</v>
      </c>
      <c r="B3" s="18" t="s">
        <v>93</v>
      </c>
      <c r="C3" s="8" t="s">
        <v>91</v>
      </c>
      <c r="D3" s="1" t="s">
        <v>15</v>
      </c>
      <c r="E3" s="7">
        <v>100000</v>
      </c>
      <c r="F3" s="6">
        <v>3</v>
      </c>
      <c r="G3" s="12">
        <f>E3*F3</f>
        <v>300000</v>
      </c>
      <c r="H3" s="80" t="s">
        <v>255</v>
      </c>
      <c r="I3" s="80" t="s">
        <v>279</v>
      </c>
      <c r="J3" s="2">
        <v>55482</v>
      </c>
      <c r="K3" s="3">
        <f>300000-55482</f>
        <v>244518</v>
      </c>
      <c r="L3" s="79" t="s">
        <v>331</v>
      </c>
      <c r="M3" s="31" t="s">
        <v>332</v>
      </c>
      <c r="N3" s="78" t="s">
        <v>333</v>
      </c>
      <c r="O3" s="19" t="s">
        <v>101</v>
      </c>
      <c r="P3" s="19" t="s">
        <v>246</v>
      </c>
      <c r="Q3" s="41">
        <v>0</v>
      </c>
      <c r="R3" s="41">
        <v>52840</v>
      </c>
      <c r="S3" s="41">
        <f>Q3-R3</f>
        <v>-52840</v>
      </c>
      <c r="T3" s="19" t="str">
        <f>IF(K3=S3,"O","X")</f>
        <v>X</v>
      </c>
    </row>
    <row r="4" spans="1:20" ht="27.75" customHeight="1">
      <c r="A4" s="17">
        <v>2</v>
      </c>
      <c r="B4" s="14" t="s">
        <v>40</v>
      </c>
      <c r="C4" s="13" t="s">
        <v>275</v>
      </c>
      <c r="D4" s="1" t="s">
        <v>24</v>
      </c>
      <c r="E4" s="7">
        <v>300000</v>
      </c>
      <c r="F4" s="6">
        <v>1</v>
      </c>
      <c r="G4" s="12">
        <f t="shared" ref="G4:G76" si="0">E4*F4</f>
        <v>300000</v>
      </c>
      <c r="H4" s="55" t="s">
        <v>255</v>
      </c>
      <c r="I4" s="56" t="s">
        <v>279</v>
      </c>
      <c r="J4" s="2">
        <v>183901</v>
      </c>
      <c r="K4" s="3">
        <f>300000-183901</f>
        <v>116099</v>
      </c>
      <c r="L4" s="54" t="s">
        <v>296</v>
      </c>
      <c r="M4" s="31" t="s">
        <v>340</v>
      </c>
      <c r="N4" s="53" t="s">
        <v>297</v>
      </c>
      <c r="O4" s="19" t="s">
        <v>179</v>
      </c>
      <c r="P4" s="19" t="s">
        <v>247</v>
      </c>
      <c r="Q4" s="41">
        <v>300000</v>
      </c>
      <c r="R4" s="41">
        <v>189322</v>
      </c>
      <c r="S4" s="41">
        <f t="shared" ref="S4:S66" si="1">Q4-R4</f>
        <v>110678</v>
      </c>
      <c r="T4" s="19" t="str">
        <f t="shared" ref="T4:T65" si="2">IF(K4=S4,"O","X")</f>
        <v>X</v>
      </c>
    </row>
    <row r="5" spans="1:20" ht="27.75" customHeight="1">
      <c r="A5" s="17">
        <v>3</v>
      </c>
      <c r="B5" s="30" t="s">
        <v>21</v>
      </c>
      <c r="C5" s="25" t="s">
        <v>230</v>
      </c>
      <c r="D5" s="1" t="s">
        <v>24</v>
      </c>
      <c r="E5" s="7">
        <v>150000</v>
      </c>
      <c r="F5" s="6">
        <v>6</v>
      </c>
      <c r="G5" s="12">
        <f t="shared" si="0"/>
        <v>900000</v>
      </c>
      <c r="H5" s="23" t="s">
        <v>46</v>
      </c>
      <c r="I5" s="23" t="s">
        <v>55</v>
      </c>
      <c r="J5" s="2">
        <v>8820</v>
      </c>
      <c r="K5" s="3">
        <f>900000+128-30357-42637-32809-54163-40336-70692-80277-67994-120766-41934-50426-57745-19504-23134-80436-41158-17460-8820</f>
        <v>19480</v>
      </c>
      <c r="M5" s="31" t="s">
        <v>332</v>
      </c>
      <c r="O5" s="19" t="s">
        <v>102</v>
      </c>
      <c r="P5" s="19" t="s">
        <v>246</v>
      </c>
      <c r="Q5" s="41">
        <v>28300</v>
      </c>
      <c r="R5" s="41">
        <v>5748</v>
      </c>
      <c r="S5" s="41">
        <f t="shared" si="1"/>
        <v>22552</v>
      </c>
      <c r="T5" s="19" t="str">
        <f t="shared" si="2"/>
        <v>X</v>
      </c>
    </row>
    <row r="6" spans="1:20" ht="27.75" customHeight="1">
      <c r="A6" s="17">
        <v>4</v>
      </c>
      <c r="B6" s="14" t="s">
        <v>40</v>
      </c>
      <c r="C6" s="13" t="s">
        <v>319</v>
      </c>
      <c r="D6" s="1" t="s">
        <v>24</v>
      </c>
      <c r="E6" s="7">
        <v>100000</v>
      </c>
      <c r="F6" s="6">
        <v>3</v>
      </c>
      <c r="G6" s="12">
        <f t="shared" si="0"/>
        <v>300000</v>
      </c>
      <c r="H6" s="5" t="s">
        <v>74</v>
      </c>
      <c r="I6" s="5" t="s">
        <v>88</v>
      </c>
      <c r="J6" s="2">
        <v>60082</v>
      </c>
      <c r="K6" s="3">
        <f>491+5116-5607+300000-(-2982)-22961-72363-28525-(-1184)-66700-60082</f>
        <v>53535</v>
      </c>
      <c r="M6" s="31" t="s">
        <v>330</v>
      </c>
      <c r="N6" s="19" t="s">
        <v>194</v>
      </c>
      <c r="O6" s="19" t="s">
        <v>135</v>
      </c>
      <c r="P6" s="19" t="s">
        <v>247</v>
      </c>
      <c r="Q6" s="41">
        <v>113617</v>
      </c>
      <c r="R6" s="41">
        <v>57221</v>
      </c>
      <c r="S6" s="41">
        <f t="shared" si="1"/>
        <v>56396</v>
      </c>
      <c r="T6" s="19" t="str">
        <f t="shared" si="2"/>
        <v>X</v>
      </c>
    </row>
    <row r="7" spans="1:20" ht="27.75" customHeight="1">
      <c r="A7" s="17">
        <v>5</v>
      </c>
      <c r="B7" s="30" t="s">
        <v>21</v>
      </c>
      <c r="C7" s="25" t="s">
        <v>320</v>
      </c>
      <c r="D7" s="1" t="s">
        <v>24</v>
      </c>
      <c r="E7" s="7">
        <v>100000</v>
      </c>
      <c r="F7" s="6">
        <v>3</v>
      </c>
      <c r="G7" s="12">
        <f t="shared" si="0"/>
        <v>300000</v>
      </c>
      <c r="H7" s="23" t="s">
        <v>70</v>
      </c>
      <c r="I7" s="23" t="s">
        <v>69</v>
      </c>
      <c r="J7" s="2">
        <v>0</v>
      </c>
      <c r="K7" s="3">
        <f>300000-110880-13703+275-983-2667-76360-1515-284-(-402)-0-9293-0</f>
        <v>84992</v>
      </c>
      <c r="M7" s="49" t="s">
        <v>340</v>
      </c>
      <c r="O7" s="19" t="s">
        <v>124</v>
      </c>
      <c r="P7" s="19" t="s">
        <v>248</v>
      </c>
      <c r="Q7" s="41">
        <v>84992</v>
      </c>
      <c r="R7" s="41">
        <v>0</v>
      </c>
      <c r="S7" s="41">
        <f t="shared" si="1"/>
        <v>84992</v>
      </c>
      <c r="T7" s="19" t="str">
        <f t="shared" si="2"/>
        <v>O</v>
      </c>
    </row>
    <row r="8" spans="1:20" ht="27.75" customHeight="1">
      <c r="A8" s="17">
        <v>6</v>
      </c>
      <c r="B8" s="14" t="s">
        <v>40</v>
      </c>
      <c r="C8" s="13" t="s">
        <v>321</v>
      </c>
      <c r="D8" s="1" t="s">
        <v>24</v>
      </c>
      <c r="E8" s="7">
        <v>300000</v>
      </c>
      <c r="F8" s="6">
        <v>1</v>
      </c>
      <c r="G8" s="12">
        <f t="shared" si="0"/>
        <v>300000</v>
      </c>
      <c r="H8" s="5" t="s">
        <v>69</v>
      </c>
      <c r="I8" s="5"/>
      <c r="J8" s="2">
        <v>7497</v>
      </c>
      <c r="K8" s="3">
        <f>12197+300000-6426-118879-0-(-13440)-7497</f>
        <v>192835</v>
      </c>
      <c r="M8" s="31" t="s">
        <v>340</v>
      </c>
      <c r="N8" s="19" t="s">
        <v>99</v>
      </c>
      <c r="O8" s="19" t="s">
        <v>103</v>
      </c>
      <c r="P8" s="19" t="s">
        <v>249</v>
      </c>
      <c r="Q8" s="41">
        <v>200332</v>
      </c>
      <c r="R8" s="41">
        <v>10080</v>
      </c>
      <c r="S8" s="41">
        <f t="shared" si="1"/>
        <v>190252</v>
      </c>
      <c r="T8" s="19" t="str">
        <f t="shared" si="2"/>
        <v>X</v>
      </c>
    </row>
    <row r="9" spans="1:20" ht="27.75" customHeight="1">
      <c r="A9" s="17">
        <v>7</v>
      </c>
      <c r="B9" s="14" t="s">
        <v>40</v>
      </c>
      <c r="C9" s="13" t="s">
        <v>282</v>
      </c>
      <c r="D9" s="1" t="s">
        <v>24</v>
      </c>
      <c r="E9" s="7">
        <v>100000</v>
      </c>
      <c r="F9" s="6">
        <v>3</v>
      </c>
      <c r="G9" s="12">
        <f t="shared" si="0"/>
        <v>300000</v>
      </c>
      <c r="H9" s="56" t="s">
        <v>216</v>
      </c>
      <c r="I9" s="56" t="s">
        <v>258</v>
      </c>
      <c r="J9" s="2">
        <v>51854</v>
      </c>
      <c r="K9" s="3">
        <f>336528 -136528-38813-51854</f>
        <v>109333</v>
      </c>
      <c r="L9" s="63" t="s">
        <v>305</v>
      </c>
      <c r="M9" s="31" t="s">
        <v>328</v>
      </c>
      <c r="N9" s="19" t="s">
        <v>211</v>
      </c>
      <c r="O9" s="19" t="s">
        <v>104</v>
      </c>
      <c r="P9" s="19" t="s">
        <v>248</v>
      </c>
      <c r="Q9" s="41">
        <v>161187</v>
      </c>
      <c r="R9" s="41">
        <v>49385</v>
      </c>
      <c r="S9" s="41">
        <f t="shared" si="1"/>
        <v>111802</v>
      </c>
      <c r="T9" s="19" t="str">
        <f t="shared" si="2"/>
        <v>X</v>
      </c>
    </row>
    <row r="10" spans="1:20" ht="27.75" customHeight="1">
      <c r="A10" s="17">
        <v>8</v>
      </c>
      <c r="B10" s="14" t="s">
        <v>17</v>
      </c>
      <c r="C10" s="13" t="s">
        <v>199</v>
      </c>
      <c r="D10" s="1" t="s">
        <v>24</v>
      </c>
      <c r="E10" s="7">
        <v>100000</v>
      </c>
      <c r="F10" s="6">
        <v>3</v>
      </c>
      <c r="G10" s="12">
        <f t="shared" si="0"/>
        <v>300000</v>
      </c>
      <c r="H10" s="5" t="s">
        <v>202</v>
      </c>
      <c r="I10" s="5" t="s">
        <v>255</v>
      </c>
      <c r="J10" s="2">
        <v>13241</v>
      </c>
      <c r="K10" s="3">
        <f>300000-98603-101048-43785-80651+80651-17634-72429+72429-119555-181321+53312+8634+300000-13241</f>
        <v>86759</v>
      </c>
      <c r="L10" s="50" t="s">
        <v>291</v>
      </c>
      <c r="M10" s="31" t="s">
        <v>337</v>
      </c>
      <c r="N10" s="50" t="s">
        <v>290</v>
      </c>
      <c r="O10" s="19" t="s">
        <v>105</v>
      </c>
      <c r="P10" s="19" t="s">
        <v>249</v>
      </c>
      <c r="Q10" s="41">
        <v>100000</v>
      </c>
      <c r="R10" s="41">
        <v>9780</v>
      </c>
      <c r="S10" s="41">
        <f t="shared" si="1"/>
        <v>90220</v>
      </c>
      <c r="T10" s="19" t="str">
        <f t="shared" si="2"/>
        <v>X</v>
      </c>
    </row>
    <row r="11" spans="1:20" ht="27.75" customHeight="1">
      <c r="A11" s="17">
        <v>9</v>
      </c>
      <c r="B11" s="14" t="s">
        <v>17</v>
      </c>
      <c r="C11" s="13" t="s">
        <v>96</v>
      </c>
      <c r="D11" s="1" t="s">
        <v>25</v>
      </c>
      <c r="E11" s="7">
        <v>50000</v>
      </c>
      <c r="F11" s="6">
        <v>6</v>
      </c>
      <c r="G11" s="12">
        <f t="shared" si="0"/>
        <v>300000</v>
      </c>
      <c r="H11" s="15" t="s">
        <v>156</v>
      </c>
      <c r="I11" s="15" t="s">
        <v>88</v>
      </c>
      <c r="J11" s="2">
        <v>31566</v>
      </c>
      <c r="K11" s="3">
        <f>78073+300000-116550-2783-4631-24665-3654-20626-33978-56353-31566</f>
        <v>83267</v>
      </c>
      <c r="M11" s="31" t="s">
        <v>337</v>
      </c>
      <c r="N11" s="19" t="s">
        <v>157</v>
      </c>
      <c r="O11" s="19" t="s">
        <v>154</v>
      </c>
      <c r="P11" s="19" t="s">
        <v>249</v>
      </c>
      <c r="Q11" s="41">
        <v>114833</v>
      </c>
      <c r="R11" s="41">
        <v>30063</v>
      </c>
      <c r="S11" s="41">
        <f t="shared" si="1"/>
        <v>84770</v>
      </c>
      <c r="T11" s="19" t="str">
        <f t="shared" si="2"/>
        <v>X</v>
      </c>
    </row>
    <row r="12" spans="1:20" ht="27.75" customHeight="1">
      <c r="A12" s="17">
        <v>10</v>
      </c>
      <c r="B12" s="14" t="s">
        <v>40</v>
      </c>
      <c r="C12" s="13" t="s">
        <v>92</v>
      </c>
      <c r="D12" s="1" t="s">
        <v>25</v>
      </c>
      <c r="E12" s="7">
        <v>50000</v>
      </c>
      <c r="F12" s="6">
        <v>6</v>
      </c>
      <c r="G12" s="12">
        <f t="shared" si="0"/>
        <v>300000</v>
      </c>
      <c r="H12" s="5" t="s">
        <v>74</v>
      </c>
      <c r="I12" s="5" t="s">
        <v>218</v>
      </c>
      <c r="J12" s="2">
        <v>13986</v>
      </c>
      <c r="K12" s="3">
        <f>62665+325825-138490-(-1302)-3503-48038-2835-13986</f>
        <v>182940</v>
      </c>
      <c r="M12" s="31" t="s">
        <v>334</v>
      </c>
      <c r="N12" s="19" t="s">
        <v>209</v>
      </c>
      <c r="O12" s="19" t="s">
        <v>106</v>
      </c>
      <c r="P12" s="19" t="s">
        <v>249</v>
      </c>
      <c r="Q12" s="41">
        <v>196926</v>
      </c>
      <c r="R12" s="41">
        <v>13320</v>
      </c>
      <c r="S12" s="41">
        <f t="shared" si="1"/>
        <v>183606</v>
      </c>
      <c r="T12" s="19" t="str">
        <f t="shared" si="2"/>
        <v>X</v>
      </c>
    </row>
    <row r="13" spans="1:20" ht="27.75" customHeight="1">
      <c r="A13" s="17">
        <v>11</v>
      </c>
      <c r="B13" s="30" t="s">
        <v>21</v>
      </c>
      <c r="C13" s="25" t="s">
        <v>94</v>
      </c>
      <c r="D13" s="1" t="s">
        <v>25</v>
      </c>
      <c r="E13" s="7">
        <v>50000</v>
      </c>
      <c r="F13" s="6">
        <v>6</v>
      </c>
      <c r="G13" s="12">
        <f t="shared" si="0"/>
        <v>300000</v>
      </c>
      <c r="H13" s="23" t="s">
        <v>50</v>
      </c>
      <c r="I13" s="23" t="s">
        <v>67</v>
      </c>
      <c r="J13" s="2">
        <v>13687</v>
      </c>
      <c r="K13" s="3">
        <f>300000-50000-11172+7585-43130-20790-5481-2646-28888-54551-15083-0-18260-13687</f>
        <v>43897</v>
      </c>
      <c r="M13" s="31" t="s">
        <v>334</v>
      </c>
      <c r="O13" s="19" t="s">
        <v>153</v>
      </c>
      <c r="P13" s="19" t="s">
        <v>249</v>
      </c>
      <c r="Q13" s="41">
        <v>57584</v>
      </c>
      <c r="R13" s="41">
        <v>13035</v>
      </c>
      <c r="S13" s="41">
        <f t="shared" si="1"/>
        <v>44549</v>
      </c>
      <c r="T13" s="19" t="str">
        <f t="shared" si="2"/>
        <v>X</v>
      </c>
    </row>
    <row r="14" spans="1:20" ht="27.75" customHeight="1">
      <c r="A14" s="17">
        <v>12</v>
      </c>
      <c r="B14" s="14" t="s">
        <v>40</v>
      </c>
      <c r="C14" s="13" t="s">
        <v>208</v>
      </c>
      <c r="D14" s="1" t="s">
        <v>15</v>
      </c>
      <c r="E14" s="7">
        <v>100000</v>
      </c>
      <c r="F14" s="6">
        <v>4</v>
      </c>
      <c r="G14" s="12">
        <f t="shared" si="0"/>
        <v>400000</v>
      </c>
      <c r="H14" s="5" t="s">
        <v>215</v>
      </c>
      <c r="I14" s="5" t="s">
        <v>216</v>
      </c>
      <c r="J14" s="2">
        <v>0</v>
      </c>
      <c r="K14" s="3">
        <f>40795+400000-59317-2730-3-(-337)-66864-7508-12075-0</f>
        <v>292635</v>
      </c>
      <c r="M14" s="49" t="s">
        <v>340</v>
      </c>
      <c r="N14" s="19" t="s">
        <v>213</v>
      </c>
      <c r="O14" s="19" t="s">
        <v>149</v>
      </c>
      <c r="P14" s="19" t="s">
        <v>246</v>
      </c>
      <c r="Q14" s="41">
        <v>292635</v>
      </c>
      <c r="R14" s="41">
        <v>0</v>
      </c>
      <c r="S14" s="41">
        <f t="shared" si="1"/>
        <v>292635</v>
      </c>
      <c r="T14" s="19" t="str">
        <f t="shared" si="2"/>
        <v>O</v>
      </c>
    </row>
    <row r="15" spans="1:20" ht="27.75" customHeight="1">
      <c r="A15" s="17">
        <v>13</v>
      </c>
      <c r="B15" s="14" t="s">
        <v>40</v>
      </c>
      <c r="C15" s="13" t="s">
        <v>322</v>
      </c>
      <c r="D15" s="1" t="s">
        <v>24</v>
      </c>
      <c r="E15" s="7">
        <v>100000</v>
      </c>
      <c r="F15" s="6">
        <v>2</v>
      </c>
      <c r="G15" s="12">
        <f t="shared" si="0"/>
        <v>200000</v>
      </c>
      <c r="H15" s="5" t="s">
        <v>201</v>
      </c>
      <c r="I15" s="5" t="s">
        <v>217</v>
      </c>
      <c r="J15" s="2">
        <v>0</v>
      </c>
      <c r="K15" s="3">
        <f>-(-7344)+200000-9702-0-0</f>
        <v>197642</v>
      </c>
      <c r="M15" s="49" t="s">
        <v>340</v>
      </c>
      <c r="N15" s="19" t="s">
        <v>214</v>
      </c>
      <c r="O15" s="19" t="s">
        <v>152</v>
      </c>
      <c r="P15" s="19" t="s">
        <v>246</v>
      </c>
      <c r="Q15" s="41">
        <v>197642</v>
      </c>
      <c r="R15" s="41">
        <v>0</v>
      </c>
      <c r="S15" s="41">
        <f t="shared" si="1"/>
        <v>197642</v>
      </c>
      <c r="T15" s="19" t="str">
        <f t="shared" si="2"/>
        <v>O</v>
      </c>
    </row>
    <row r="16" spans="1:20" ht="27.75" customHeight="1">
      <c r="A16" s="17">
        <v>14</v>
      </c>
      <c r="B16" s="14" t="s">
        <v>40</v>
      </c>
      <c r="C16" s="13" t="s">
        <v>180</v>
      </c>
      <c r="D16" s="1" t="s">
        <v>25</v>
      </c>
      <c r="E16" s="7">
        <v>50000</v>
      </c>
      <c r="F16" s="6">
        <v>6</v>
      </c>
      <c r="G16" s="12">
        <f t="shared" si="0"/>
        <v>300000</v>
      </c>
      <c r="H16" s="5" t="s">
        <v>74</v>
      </c>
      <c r="I16" s="5" t="s">
        <v>218</v>
      </c>
      <c r="J16" s="2">
        <v>0</v>
      </c>
      <c r="K16" s="3">
        <f>300000-19677-24570-5114-5027-17277-0</f>
        <v>228335</v>
      </c>
      <c r="M16" s="49" t="s">
        <v>340</v>
      </c>
      <c r="N16" s="19" t="s">
        <v>220</v>
      </c>
      <c r="O16" s="19" t="s">
        <v>137</v>
      </c>
      <c r="P16" s="19" t="s">
        <v>247</v>
      </c>
      <c r="Q16" s="41">
        <v>228335</v>
      </c>
      <c r="R16" s="41">
        <v>0</v>
      </c>
      <c r="S16" s="41">
        <f t="shared" si="1"/>
        <v>228335</v>
      </c>
      <c r="T16" s="19" t="str">
        <f t="shared" si="2"/>
        <v>O</v>
      </c>
    </row>
    <row r="17" spans="1:20" ht="27.75" customHeight="1">
      <c r="A17" s="17">
        <v>15</v>
      </c>
      <c r="B17" s="14" t="s">
        <v>17</v>
      </c>
      <c r="C17" s="13" t="s">
        <v>259</v>
      </c>
      <c r="D17" s="1" t="s">
        <v>25</v>
      </c>
      <c r="E17" s="7">
        <v>50000</v>
      </c>
      <c r="F17" s="6">
        <v>6</v>
      </c>
      <c r="G17" s="12">
        <f t="shared" si="0"/>
        <v>300000</v>
      </c>
      <c r="H17" s="5" t="s">
        <v>88</v>
      </c>
      <c r="I17" s="5" t="s">
        <v>258</v>
      </c>
      <c r="J17" s="2">
        <v>72589</v>
      </c>
      <c r="K17" s="3">
        <f>5398+300000-41267-20021-34671-37918-72589</f>
        <v>98932</v>
      </c>
      <c r="L17" s="19" t="s">
        <v>263</v>
      </c>
      <c r="M17" s="31" t="s">
        <v>336</v>
      </c>
      <c r="N17" s="20" t="s">
        <v>264</v>
      </c>
      <c r="O17" s="19" t="s">
        <v>151</v>
      </c>
      <c r="P17" s="19" t="s">
        <v>247</v>
      </c>
      <c r="Q17" s="41">
        <v>171521</v>
      </c>
      <c r="R17" s="41">
        <v>69132</v>
      </c>
      <c r="S17" s="41">
        <f t="shared" si="1"/>
        <v>102389</v>
      </c>
      <c r="T17" s="19" t="str">
        <f t="shared" si="2"/>
        <v>X</v>
      </c>
    </row>
    <row r="18" spans="1:20" ht="27.75" customHeight="1">
      <c r="A18" s="17">
        <v>16</v>
      </c>
      <c r="B18" s="14" t="s">
        <v>17</v>
      </c>
      <c r="C18" s="13" t="s">
        <v>181</v>
      </c>
      <c r="D18" s="1" t="s">
        <v>24</v>
      </c>
      <c r="E18" s="7">
        <v>100000</v>
      </c>
      <c r="F18" s="6">
        <v>3</v>
      </c>
      <c r="G18" s="12">
        <f t="shared" si="0"/>
        <v>300000</v>
      </c>
      <c r="H18" s="5" t="s">
        <v>202</v>
      </c>
      <c r="I18" s="5" t="s">
        <v>258</v>
      </c>
      <c r="J18" s="2">
        <v>118070</v>
      </c>
      <c r="K18" s="3">
        <f>4179+300000-112967-46805-118070</f>
        <v>26337</v>
      </c>
      <c r="L18" s="48" t="s">
        <v>287</v>
      </c>
      <c r="M18" s="31" t="s">
        <v>328</v>
      </c>
      <c r="N18" s="48" t="s">
        <v>288</v>
      </c>
      <c r="O18" s="19" t="s">
        <v>155</v>
      </c>
      <c r="P18" s="19" t="s">
        <v>248</v>
      </c>
      <c r="Q18" s="41">
        <v>144407</v>
      </c>
      <c r="R18" s="41">
        <v>124761</v>
      </c>
      <c r="S18" s="41">
        <f t="shared" si="1"/>
        <v>19646</v>
      </c>
      <c r="T18" s="19" t="str">
        <f t="shared" si="2"/>
        <v>X</v>
      </c>
    </row>
    <row r="19" spans="1:20" ht="27.75" customHeight="1">
      <c r="A19" s="17">
        <v>17</v>
      </c>
      <c r="B19" s="18" t="s">
        <v>44</v>
      </c>
      <c r="C19" s="8" t="s">
        <v>173</v>
      </c>
      <c r="D19" s="1" t="s">
        <v>25</v>
      </c>
      <c r="E19" s="7">
        <v>50000</v>
      </c>
      <c r="F19" s="6">
        <v>6</v>
      </c>
      <c r="G19" s="12">
        <f t="shared" si="0"/>
        <v>300000</v>
      </c>
      <c r="H19" s="15" t="s">
        <v>71</v>
      </c>
      <c r="I19" s="15" t="s">
        <v>74</v>
      </c>
      <c r="J19" s="2">
        <v>141919</v>
      </c>
      <c r="K19" s="3">
        <f>300000-2680-35795-34087-1419-1596-33432-50285-30255-7665+1687-65144-26548+300000-27651-8991-22706-7277-65523-34019-16280-65695-141919</f>
        <v>-77280</v>
      </c>
      <c r="L19" s="82" t="s">
        <v>338</v>
      </c>
      <c r="M19" s="31" t="s">
        <v>337</v>
      </c>
      <c r="N19" s="83" t="s">
        <v>339</v>
      </c>
      <c r="O19" s="19" t="s">
        <v>107</v>
      </c>
      <c r="P19" s="19" t="s">
        <v>248</v>
      </c>
      <c r="Q19" s="41">
        <v>64639</v>
      </c>
      <c r="R19" s="41">
        <v>136401</v>
      </c>
      <c r="S19" s="41">
        <f t="shared" si="1"/>
        <v>-71762</v>
      </c>
      <c r="T19" s="19" t="str">
        <f t="shared" si="2"/>
        <v>X</v>
      </c>
    </row>
    <row r="20" spans="1:20" ht="27.75" customHeight="1">
      <c r="A20" s="17">
        <v>18</v>
      </c>
      <c r="B20" s="14" t="s">
        <v>17</v>
      </c>
      <c r="C20" s="13" t="s">
        <v>182</v>
      </c>
      <c r="D20" s="1" t="s">
        <v>15</v>
      </c>
      <c r="E20" s="7">
        <v>100000</v>
      </c>
      <c r="F20" s="6">
        <v>3</v>
      </c>
      <c r="G20" s="12">
        <f t="shared" si="0"/>
        <v>300000</v>
      </c>
      <c r="H20" s="56" t="s">
        <v>218</v>
      </c>
      <c r="I20" s="56" t="s">
        <v>258</v>
      </c>
      <c r="J20" s="22">
        <v>156120</v>
      </c>
      <c r="K20" s="3">
        <f>300000-74979-156120</f>
        <v>68901</v>
      </c>
      <c r="L20" s="74" t="s">
        <v>323</v>
      </c>
      <c r="M20" s="31" t="s">
        <v>334</v>
      </c>
      <c r="N20" s="20" t="s">
        <v>196</v>
      </c>
      <c r="O20" s="19" t="s">
        <v>126</v>
      </c>
      <c r="P20" s="34" t="s">
        <v>248</v>
      </c>
      <c r="Q20" s="41">
        <v>225021</v>
      </c>
      <c r="R20" s="41">
        <v>148686</v>
      </c>
      <c r="S20" s="41">
        <f t="shared" si="1"/>
        <v>76335</v>
      </c>
      <c r="T20" s="19" t="str">
        <f t="shared" si="2"/>
        <v>X</v>
      </c>
    </row>
    <row r="21" spans="1:20" ht="27.75" customHeight="1">
      <c r="A21" s="17">
        <v>19</v>
      </c>
      <c r="B21" s="70" t="s">
        <v>30</v>
      </c>
      <c r="C21" s="71" t="s">
        <v>306</v>
      </c>
      <c r="D21" s="1" t="s">
        <v>24</v>
      </c>
      <c r="E21" s="7">
        <v>100000</v>
      </c>
      <c r="F21" s="6">
        <v>1</v>
      </c>
      <c r="G21" s="12">
        <f t="shared" si="0"/>
        <v>100000</v>
      </c>
      <c r="H21" s="56" t="s">
        <v>307</v>
      </c>
      <c r="I21" s="56"/>
      <c r="J21" s="22">
        <v>18560</v>
      </c>
      <c r="K21" s="3">
        <f>100000-18560</f>
        <v>81440</v>
      </c>
      <c r="L21" s="65" t="s">
        <v>294</v>
      </c>
      <c r="M21" s="31" t="s">
        <v>328</v>
      </c>
      <c r="N21" s="64" t="s">
        <v>308</v>
      </c>
      <c r="O21" s="66" t="s">
        <v>313</v>
      </c>
      <c r="P21" s="68" t="s">
        <v>314</v>
      </c>
      <c r="Q21" s="41">
        <v>100000</v>
      </c>
      <c r="R21" s="41">
        <v>17676</v>
      </c>
      <c r="S21" s="41">
        <f t="shared" si="1"/>
        <v>82324</v>
      </c>
      <c r="T21" s="19" t="str">
        <f t="shared" si="2"/>
        <v>X</v>
      </c>
    </row>
    <row r="22" spans="1:20" ht="27.75" customHeight="1">
      <c r="A22" s="17">
        <v>20</v>
      </c>
      <c r="B22" s="14" t="s">
        <v>17</v>
      </c>
      <c r="C22" s="13" t="s">
        <v>231</v>
      </c>
      <c r="D22" s="1" t="s">
        <v>24</v>
      </c>
      <c r="E22" s="7">
        <v>100000</v>
      </c>
      <c r="F22" s="6">
        <v>3</v>
      </c>
      <c r="G22" s="12">
        <f t="shared" si="0"/>
        <v>300000</v>
      </c>
      <c r="H22" s="5" t="s">
        <v>88</v>
      </c>
      <c r="I22" s="5" t="s">
        <v>202</v>
      </c>
      <c r="J22" s="2">
        <v>2305</v>
      </c>
      <c r="K22" s="3">
        <f>65156+300933-166089-32744-22447-(-1608)-2305</f>
        <v>144112</v>
      </c>
      <c r="L22" s="19" t="s">
        <v>261</v>
      </c>
      <c r="M22" s="31" t="s">
        <v>328</v>
      </c>
      <c r="N22" s="20" t="s">
        <v>262</v>
      </c>
      <c r="O22" s="19" t="s">
        <v>166</v>
      </c>
      <c r="P22" s="19" t="s">
        <v>248</v>
      </c>
      <c r="Q22" s="41">
        <v>146417</v>
      </c>
      <c r="R22" s="41">
        <v>2195</v>
      </c>
      <c r="S22" s="41">
        <f t="shared" si="1"/>
        <v>144222</v>
      </c>
      <c r="T22" s="19" t="str">
        <f t="shared" si="2"/>
        <v>X</v>
      </c>
    </row>
    <row r="23" spans="1:20" ht="27.75" customHeight="1">
      <c r="A23" s="17">
        <v>21</v>
      </c>
      <c r="B23" s="14" t="s">
        <v>17</v>
      </c>
      <c r="C23" s="13" t="s">
        <v>232</v>
      </c>
      <c r="D23" s="1" t="s">
        <v>15</v>
      </c>
      <c r="E23" s="7">
        <v>200000</v>
      </c>
      <c r="F23" s="6">
        <v>6</v>
      </c>
      <c r="G23" s="12">
        <f>E23*F23</f>
        <v>1200000</v>
      </c>
      <c r="H23" s="5" t="s">
        <v>202</v>
      </c>
      <c r="I23" s="5" t="s">
        <v>292</v>
      </c>
      <c r="J23" s="2">
        <v>133770</v>
      </c>
      <c r="K23" s="3">
        <f>56244+1200000-112686-142580-133157-221157-92706-91535-174596-106935-76098-26028+45300+1200000-190179-86222-206439-101685-289427-102309-183466-50084-85486-219109-241221+1200000-133770</f>
        <v>634669</v>
      </c>
      <c r="L23" s="50" t="s">
        <v>291</v>
      </c>
      <c r="M23" s="31" t="s">
        <v>329</v>
      </c>
      <c r="N23" s="51" t="s">
        <v>293</v>
      </c>
      <c r="O23" s="19" t="s">
        <v>119</v>
      </c>
      <c r="P23" s="19" t="s">
        <v>246</v>
      </c>
      <c r="Q23" s="41">
        <v>768439</v>
      </c>
      <c r="R23" s="41">
        <v>127400</v>
      </c>
      <c r="S23" s="41">
        <f t="shared" si="1"/>
        <v>641039</v>
      </c>
      <c r="T23" s="19" t="str">
        <f t="shared" si="2"/>
        <v>X</v>
      </c>
    </row>
    <row r="24" spans="1:20" ht="27.75" customHeight="1">
      <c r="A24" s="17">
        <v>22</v>
      </c>
      <c r="B24" s="14" t="s">
        <v>40</v>
      </c>
      <c r="C24" s="13" t="s">
        <v>97</v>
      </c>
      <c r="D24" s="1" t="s">
        <v>24</v>
      </c>
      <c r="E24" s="7">
        <v>100000</v>
      </c>
      <c r="F24" s="6">
        <v>3</v>
      </c>
      <c r="G24" s="12">
        <f t="shared" si="0"/>
        <v>300000</v>
      </c>
      <c r="H24" s="5" t="s">
        <v>224</v>
      </c>
      <c r="I24" s="5" t="s">
        <v>138</v>
      </c>
      <c r="J24" s="2">
        <v>-2420</v>
      </c>
      <c r="K24" s="3">
        <f>300000-154207-109670-89783+53660+300000-(-1254)-40223-82946-(-7053)-50973-(-2420)</f>
        <v>136585</v>
      </c>
      <c r="M24" s="31" t="s">
        <v>332</v>
      </c>
      <c r="N24" s="20" t="s">
        <v>222</v>
      </c>
      <c r="O24" s="19" t="s">
        <v>150</v>
      </c>
      <c r="P24" s="19" t="s">
        <v>246</v>
      </c>
      <c r="Q24" s="41">
        <v>134165</v>
      </c>
      <c r="R24" s="41">
        <v>-1927</v>
      </c>
      <c r="S24" s="41">
        <f t="shared" si="1"/>
        <v>136092</v>
      </c>
      <c r="T24" s="19" t="str">
        <f t="shared" si="2"/>
        <v>X</v>
      </c>
    </row>
    <row r="25" spans="1:20" ht="27.75" customHeight="1">
      <c r="A25" s="17">
        <v>23</v>
      </c>
      <c r="B25" s="14" t="s">
        <v>17</v>
      </c>
      <c r="C25" s="13" t="s">
        <v>233</v>
      </c>
      <c r="D25" s="1" t="s">
        <v>24</v>
      </c>
      <c r="E25" s="7">
        <v>100000</v>
      </c>
      <c r="F25" s="6">
        <v>3</v>
      </c>
      <c r="G25" s="12">
        <f t="shared" si="0"/>
        <v>300000</v>
      </c>
      <c r="H25" s="55" t="s">
        <v>255</v>
      </c>
      <c r="I25" s="56" t="s">
        <v>279</v>
      </c>
      <c r="J25" s="2">
        <v>91585</v>
      </c>
      <c r="K25" s="3">
        <f>300000-91585</f>
        <v>208415</v>
      </c>
      <c r="L25" s="63" t="s">
        <v>299</v>
      </c>
      <c r="M25" s="31" t="s">
        <v>334</v>
      </c>
      <c r="N25" s="81" t="s">
        <v>335</v>
      </c>
      <c r="O25" s="19" t="s">
        <v>108</v>
      </c>
      <c r="P25" s="19" t="s">
        <v>248</v>
      </c>
      <c r="Q25" s="41">
        <v>300000</v>
      </c>
      <c r="R25" s="41">
        <v>87224</v>
      </c>
      <c r="S25" s="41">
        <f t="shared" si="1"/>
        <v>212776</v>
      </c>
      <c r="T25" s="19" t="str">
        <f t="shared" si="2"/>
        <v>X</v>
      </c>
    </row>
    <row r="26" spans="1:20" ht="27.75" customHeight="1">
      <c r="A26" s="17">
        <v>24</v>
      </c>
      <c r="B26" s="14" t="s">
        <v>40</v>
      </c>
      <c r="C26" s="13" t="s">
        <v>183</v>
      </c>
      <c r="D26" s="1" t="s">
        <v>16</v>
      </c>
      <c r="E26" s="7">
        <v>50000</v>
      </c>
      <c r="F26" s="6">
        <v>6</v>
      </c>
      <c r="G26" s="12">
        <f t="shared" si="0"/>
        <v>300000</v>
      </c>
      <c r="H26" s="5" t="s">
        <v>224</v>
      </c>
      <c r="I26" s="5" t="s">
        <v>225</v>
      </c>
      <c r="J26" s="2">
        <v>15681</v>
      </c>
      <c r="K26" s="3">
        <f>-6222+6222+300000-17616-11443-4599-4735-23895-15681</f>
        <v>222031</v>
      </c>
      <c r="M26" s="31" t="s">
        <v>328</v>
      </c>
      <c r="N26" s="20" t="s">
        <v>223</v>
      </c>
      <c r="O26" s="19" t="s">
        <v>113</v>
      </c>
      <c r="P26" s="19" t="s">
        <v>248</v>
      </c>
      <c r="Q26" s="41">
        <v>237712</v>
      </c>
      <c r="R26" s="41">
        <v>14934</v>
      </c>
      <c r="S26" s="41">
        <f t="shared" si="1"/>
        <v>222778</v>
      </c>
      <c r="T26" s="19" t="str">
        <f t="shared" si="2"/>
        <v>X</v>
      </c>
    </row>
    <row r="27" spans="1:20" ht="27.75" customHeight="1">
      <c r="A27" s="17">
        <v>25</v>
      </c>
      <c r="B27" s="14" t="s">
        <v>40</v>
      </c>
      <c r="C27" s="13" t="s">
        <v>234</v>
      </c>
      <c r="D27" s="1" t="s">
        <v>16</v>
      </c>
      <c r="E27" s="7">
        <v>50000</v>
      </c>
      <c r="F27" s="6">
        <v>6</v>
      </c>
      <c r="G27" s="12">
        <f t="shared" si="0"/>
        <v>300000</v>
      </c>
      <c r="H27" s="5" t="s">
        <v>70</v>
      </c>
      <c r="I27" s="5" t="s">
        <v>74</v>
      </c>
      <c r="J27" s="2">
        <v>714</v>
      </c>
      <c r="K27" s="3">
        <f>5056+300000-50394-3494-5926+395-41815+542-5514-1050-18419-46691-6440-30655-8017-17203+1179+752-36814-19404-7261-11151+300000-2526-5941-23890+5433-62110-125276-(-1491)-10319-9330-31406-(-821)-714</f>
        <v>33909</v>
      </c>
      <c r="M27" s="31" t="s">
        <v>336</v>
      </c>
      <c r="O27" s="19" t="s">
        <v>134</v>
      </c>
      <c r="P27" s="19" t="s">
        <v>247</v>
      </c>
      <c r="Q27" s="41">
        <v>34623</v>
      </c>
      <c r="R27" s="41">
        <v>680</v>
      </c>
      <c r="S27" s="41">
        <f t="shared" si="1"/>
        <v>33943</v>
      </c>
      <c r="T27" s="19" t="str">
        <f t="shared" si="2"/>
        <v>X</v>
      </c>
    </row>
    <row r="28" spans="1:20" ht="27.75" customHeight="1">
      <c r="A28" s="17">
        <v>26</v>
      </c>
      <c r="B28" s="14" t="s">
        <v>17</v>
      </c>
      <c r="C28" s="13" t="s">
        <v>184</v>
      </c>
      <c r="D28" s="1" t="s">
        <v>15</v>
      </c>
      <c r="E28" s="7">
        <v>100000</v>
      </c>
      <c r="F28" s="6">
        <v>6</v>
      </c>
      <c r="G28" s="12">
        <f t="shared" si="0"/>
        <v>600000</v>
      </c>
      <c r="H28" s="56" t="s">
        <v>255</v>
      </c>
      <c r="I28" s="56" t="s">
        <v>279</v>
      </c>
      <c r="J28" s="2">
        <v>258857</v>
      </c>
      <c r="K28" s="3">
        <f>300000-258857</f>
        <v>41143</v>
      </c>
      <c r="L28" s="62" t="s">
        <v>302</v>
      </c>
      <c r="M28" s="31" t="s">
        <v>334</v>
      </c>
      <c r="N28" s="61" t="s">
        <v>303</v>
      </c>
      <c r="O28" s="19" t="s">
        <v>118</v>
      </c>
      <c r="P28" s="19" t="s">
        <v>248</v>
      </c>
      <c r="Q28" s="41">
        <v>300000</v>
      </c>
      <c r="R28" s="41">
        <v>246530</v>
      </c>
      <c r="S28" s="41">
        <f t="shared" si="1"/>
        <v>53470</v>
      </c>
      <c r="T28" s="19" t="str">
        <f t="shared" si="2"/>
        <v>X</v>
      </c>
    </row>
    <row r="29" spans="1:20" ht="27.75" customHeight="1">
      <c r="A29" s="17">
        <v>27</v>
      </c>
      <c r="B29" s="18" t="s">
        <v>44</v>
      </c>
      <c r="C29" s="8" t="s">
        <v>95</v>
      </c>
      <c r="D29" s="1" t="s">
        <v>16</v>
      </c>
      <c r="E29" s="7">
        <v>50000</v>
      </c>
      <c r="F29" s="6">
        <v>5</v>
      </c>
      <c r="G29" s="12">
        <f t="shared" si="0"/>
        <v>250000</v>
      </c>
      <c r="H29" s="5" t="s">
        <v>12</v>
      </c>
      <c r="I29" s="5" t="s">
        <v>6</v>
      </c>
      <c r="J29" s="2">
        <v>0</v>
      </c>
      <c r="K29" s="3">
        <f>1680-238-840-0-2993+2391</f>
        <v>0</v>
      </c>
      <c r="L29" s="19" t="s">
        <v>26</v>
      </c>
      <c r="M29" s="49" t="s">
        <v>340</v>
      </c>
      <c r="O29" s="19" t="s">
        <v>144</v>
      </c>
      <c r="P29" s="19" t="s">
        <v>248</v>
      </c>
      <c r="Q29" s="41">
        <v>0</v>
      </c>
      <c r="R29" s="41">
        <v>0</v>
      </c>
      <c r="S29" s="41">
        <f t="shared" si="1"/>
        <v>0</v>
      </c>
      <c r="T29" s="19" t="str">
        <f t="shared" si="2"/>
        <v>O</v>
      </c>
    </row>
    <row r="30" spans="1:20" ht="27.75" customHeight="1">
      <c r="A30" s="17">
        <v>28</v>
      </c>
      <c r="B30" s="16" t="s">
        <v>45</v>
      </c>
      <c r="C30" s="9" t="s">
        <v>235</v>
      </c>
      <c r="D30" s="1" t="s">
        <v>24</v>
      </c>
      <c r="E30" s="7">
        <v>100000</v>
      </c>
      <c r="F30" s="6">
        <v>3</v>
      </c>
      <c r="G30" s="12">
        <f t="shared" si="0"/>
        <v>300000</v>
      </c>
      <c r="H30" s="32" t="s">
        <v>36</v>
      </c>
      <c r="I30" s="32" t="s">
        <v>37</v>
      </c>
      <c r="J30" s="2">
        <v>0</v>
      </c>
      <c r="K30" s="3">
        <f>300000-27106-7984+744-10032-5400-19720-15831+7454-480-9070-1350-34914-15040-2224-12250-25032-24935-1076-9907-12600-16065-479-9210-28726+300000-66654-10173-10735+851-19920+41-8484-11510-147-20475-788+394-7088-1663-3528-11059</f>
        <v>147829</v>
      </c>
      <c r="M30" s="49" t="s">
        <v>340</v>
      </c>
      <c r="O30" s="19" t="s">
        <v>174</v>
      </c>
      <c r="P30" s="19" t="s">
        <v>248</v>
      </c>
      <c r="Q30" s="41">
        <v>147829</v>
      </c>
      <c r="R30" s="41">
        <v>0</v>
      </c>
      <c r="S30" s="41">
        <f t="shared" si="1"/>
        <v>147829</v>
      </c>
      <c r="T30" s="19" t="str">
        <f t="shared" si="2"/>
        <v>O</v>
      </c>
    </row>
    <row r="31" spans="1:20" ht="27.75" customHeight="1">
      <c r="A31" s="17">
        <v>29</v>
      </c>
      <c r="B31" s="14" t="s">
        <v>40</v>
      </c>
      <c r="C31" s="13" t="s">
        <v>236</v>
      </c>
      <c r="D31" s="1" t="s">
        <v>25</v>
      </c>
      <c r="E31" s="7">
        <v>50000</v>
      </c>
      <c r="F31" s="6">
        <v>6</v>
      </c>
      <c r="G31" s="12">
        <f t="shared" si="0"/>
        <v>300000</v>
      </c>
      <c r="H31" s="15" t="s">
        <v>224</v>
      </c>
      <c r="I31" s="5" t="s">
        <v>255</v>
      </c>
      <c r="J31" s="2">
        <v>2168</v>
      </c>
      <c r="K31" s="3">
        <v>2168</v>
      </c>
      <c r="L31" s="19" t="s">
        <v>254</v>
      </c>
      <c r="M31" s="31" t="s">
        <v>328</v>
      </c>
      <c r="N31" s="46" t="s">
        <v>281</v>
      </c>
      <c r="O31" s="19" t="s">
        <v>109</v>
      </c>
      <c r="P31" s="19" t="s">
        <v>248</v>
      </c>
      <c r="Q31" s="41">
        <v>144585</v>
      </c>
      <c r="R31" s="41">
        <v>4495</v>
      </c>
      <c r="S31" s="41">
        <f t="shared" si="1"/>
        <v>140090</v>
      </c>
      <c r="T31" s="19" t="str">
        <f t="shared" si="2"/>
        <v>X</v>
      </c>
    </row>
    <row r="32" spans="1:20" ht="27.75" customHeight="1">
      <c r="A32" s="17">
        <v>30</v>
      </c>
      <c r="B32" s="14" t="s">
        <v>40</v>
      </c>
      <c r="C32" s="13" t="s">
        <v>185</v>
      </c>
      <c r="D32" s="1" t="s">
        <v>25</v>
      </c>
      <c r="E32" s="7">
        <v>50000</v>
      </c>
      <c r="F32" s="6">
        <v>6</v>
      </c>
      <c r="G32" s="12">
        <f t="shared" si="0"/>
        <v>300000</v>
      </c>
      <c r="H32" s="5" t="s">
        <v>224</v>
      </c>
      <c r="I32" s="5" t="s">
        <v>258</v>
      </c>
      <c r="J32" s="2">
        <v>2205</v>
      </c>
      <c r="K32" s="3">
        <f>300000-18270-(-1691)-43065-(-6831)-2205</f>
        <v>244982</v>
      </c>
      <c r="L32" s="19" t="s">
        <v>256</v>
      </c>
      <c r="M32" s="31" t="s">
        <v>328</v>
      </c>
      <c r="N32" s="19" t="s">
        <v>257</v>
      </c>
      <c r="O32" s="19" t="s">
        <v>165</v>
      </c>
      <c r="P32" s="19" t="s">
        <v>248</v>
      </c>
      <c r="Q32" s="41">
        <v>247187</v>
      </c>
      <c r="R32" s="41">
        <v>2100</v>
      </c>
      <c r="S32" s="41">
        <f t="shared" si="1"/>
        <v>245087</v>
      </c>
      <c r="T32" s="19" t="str">
        <f t="shared" si="2"/>
        <v>X</v>
      </c>
    </row>
    <row r="33" spans="1:20" ht="27.75" customHeight="1">
      <c r="A33" s="17">
        <v>31</v>
      </c>
      <c r="B33" s="14" t="s">
        <v>40</v>
      </c>
      <c r="C33" s="13" t="s">
        <v>237</v>
      </c>
      <c r="D33" s="1" t="s">
        <v>25</v>
      </c>
      <c r="E33" s="7">
        <v>50000</v>
      </c>
      <c r="F33" s="6">
        <v>6</v>
      </c>
      <c r="G33" s="12">
        <f t="shared" si="0"/>
        <v>300000</v>
      </c>
      <c r="H33" s="5" t="s">
        <v>78</v>
      </c>
      <c r="I33" s="5" t="s">
        <v>79</v>
      </c>
      <c r="J33" s="2">
        <v>30496</v>
      </c>
      <c r="K33" s="3">
        <f>300000-1575-11493-24695-24228-2628-2836-(-474)-84-30496</f>
        <v>202439</v>
      </c>
      <c r="M33" s="31" t="s">
        <v>336</v>
      </c>
      <c r="O33" s="19" t="s">
        <v>114</v>
      </c>
      <c r="P33" s="19" t="s">
        <v>249</v>
      </c>
      <c r="Q33" s="41">
        <v>232935</v>
      </c>
      <c r="R33" s="41">
        <v>29044</v>
      </c>
      <c r="S33" s="41">
        <f t="shared" si="1"/>
        <v>203891</v>
      </c>
      <c r="T33" s="19" t="str">
        <f t="shared" si="2"/>
        <v>X</v>
      </c>
    </row>
    <row r="34" spans="1:20" ht="27.75" customHeight="1">
      <c r="A34" s="17">
        <v>32</v>
      </c>
      <c r="B34" s="14" t="s">
        <v>17</v>
      </c>
      <c r="C34" s="14" t="s">
        <v>238</v>
      </c>
      <c r="D34" s="1" t="s">
        <v>24</v>
      </c>
      <c r="E34" s="7">
        <v>300000</v>
      </c>
      <c r="F34" s="6">
        <v>1</v>
      </c>
      <c r="G34" s="12">
        <f t="shared" si="0"/>
        <v>300000</v>
      </c>
      <c r="H34" s="5" t="s">
        <v>90</v>
      </c>
      <c r="I34" s="5"/>
      <c r="J34" s="2">
        <v>66035</v>
      </c>
      <c r="K34" s="3">
        <f>300000-14112-19950-14213-(-2205)-110143-101388-(-68397)-66035</f>
        <v>44761</v>
      </c>
      <c r="M34" s="31" t="s">
        <v>334</v>
      </c>
      <c r="N34" s="20" t="s">
        <v>198</v>
      </c>
      <c r="O34" s="19" t="s">
        <v>110</v>
      </c>
      <c r="P34" s="19" t="s">
        <v>248</v>
      </c>
      <c r="Q34" s="41">
        <v>110796</v>
      </c>
      <c r="R34" s="41">
        <v>62890</v>
      </c>
      <c r="S34" s="41">
        <f t="shared" si="1"/>
        <v>47906</v>
      </c>
      <c r="T34" s="19" t="str">
        <f t="shared" si="2"/>
        <v>X</v>
      </c>
    </row>
    <row r="35" spans="1:20" ht="27.75" customHeight="1">
      <c r="A35" s="17">
        <v>33</v>
      </c>
      <c r="B35" s="30" t="s">
        <v>21</v>
      </c>
      <c r="C35" s="25" t="s">
        <v>80</v>
      </c>
      <c r="D35" s="1" t="s">
        <v>25</v>
      </c>
      <c r="E35" s="7">
        <v>100000</v>
      </c>
      <c r="F35" s="6">
        <v>1</v>
      </c>
      <c r="G35" s="12">
        <f t="shared" si="0"/>
        <v>100000</v>
      </c>
      <c r="H35" s="23" t="s">
        <v>67</v>
      </c>
      <c r="I35" s="23" t="s">
        <v>71</v>
      </c>
      <c r="J35" s="2">
        <v>15330</v>
      </c>
      <c r="K35" s="3">
        <f>300000-7054+7054-1793+620-9782-10197-580-3455-540-292-20540-15330</f>
        <v>238111</v>
      </c>
      <c r="M35" s="31" t="s">
        <v>334</v>
      </c>
      <c r="N35" s="20" t="s">
        <v>83</v>
      </c>
      <c r="O35" s="19" t="s">
        <v>167</v>
      </c>
      <c r="P35" s="19" t="s">
        <v>248</v>
      </c>
      <c r="Q35" s="41">
        <v>253441</v>
      </c>
      <c r="R35" s="41">
        <v>14600</v>
      </c>
      <c r="S35" s="41">
        <f t="shared" si="1"/>
        <v>238841</v>
      </c>
      <c r="T35" s="19" t="str">
        <f t="shared" si="2"/>
        <v>X</v>
      </c>
    </row>
    <row r="36" spans="1:20" ht="27.75" customHeight="1">
      <c r="A36" s="17">
        <v>34</v>
      </c>
      <c r="B36" s="18" t="s">
        <v>44</v>
      </c>
      <c r="C36" s="8" t="s">
        <v>239</v>
      </c>
      <c r="D36" s="1" t="s">
        <v>24</v>
      </c>
      <c r="E36" s="7">
        <v>100000</v>
      </c>
      <c r="F36" s="6">
        <v>3</v>
      </c>
      <c r="G36" s="12">
        <f t="shared" si="0"/>
        <v>300000</v>
      </c>
      <c r="H36" s="15" t="s">
        <v>68</v>
      </c>
      <c r="I36" s="5" t="s">
        <v>64</v>
      </c>
      <c r="J36" s="2">
        <v>152271</v>
      </c>
      <c r="K36" s="3">
        <f>300000+25072-207325+82253-104669-152271</f>
        <v>-56940</v>
      </c>
      <c r="L36" s="19" t="s">
        <v>26</v>
      </c>
      <c r="M36" s="31"/>
      <c r="N36" s="20"/>
      <c r="O36" s="19" t="s">
        <v>123</v>
      </c>
      <c r="P36" s="19" t="s">
        <v>248</v>
      </c>
      <c r="Q36" s="41">
        <v>95331</v>
      </c>
      <c r="R36" s="41">
        <v>145020</v>
      </c>
      <c r="S36" s="41">
        <f t="shared" si="1"/>
        <v>-49689</v>
      </c>
      <c r="T36" s="19" t="str">
        <f t="shared" si="2"/>
        <v>X</v>
      </c>
    </row>
    <row r="37" spans="1:20" ht="27.75" customHeight="1">
      <c r="A37" s="17">
        <v>35</v>
      </c>
      <c r="B37" s="16" t="s">
        <v>45</v>
      </c>
      <c r="C37" s="9" t="s">
        <v>193</v>
      </c>
      <c r="D37" s="1" t="s">
        <v>25</v>
      </c>
      <c r="E37" s="7">
        <v>50000</v>
      </c>
      <c r="F37" s="6">
        <v>6</v>
      </c>
      <c r="G37" s="12">
        <f t="shared" si="0"/>
        <v>300000</v>
      </c>
      <c r="H37" s="33" t="s">
        <v>221</v>
      </c>
      <c r="I37" s="32" t="s">
        <v>39</v>
      </c>
      <c r="J37" s="2">
        <v>630</v>
      </c>
      <c r="K37" s="3">
        <f>50000+4200+50000+100000+50000+50000-2268-9293-2258-189-1990-40786-9614-50123-(-529)-88767-88079-630</f>
        <v>10732</v>
      </c>
      <c r="M37" s="31" t="s">
        <v>336</v>
      </c>
      <c r="O37" s="19" t="s">
        <v>186</v>
      </c>
      <c r="P37" s="19" t="s">
        <v>247</v>
      </c>
      <c r="Q37" s="41">
        <v>11362</v>
      </c>
      <c r="R37" s="41">
        <v>600</v>
      </c>
      <c r="S37" s="41">
        <f t="shared" si="1"/>
        <v>10762</v>
      </c>
      <c r="T37" s="19" t="str">
        <f t="shared" si="2"/>
        <v>X</v>
      </c>
    </row>
    <row r="38" spans="1:20" ht="27.75" customHeight="1">
      <c r="A38" s="17">
        <v>36</v>
      </c>
      <c r="B38" s="14" t="s">
        <v>40</v>
      </c>
      <c r="C38" s="13" t="s">
        <v>240</v>
      </c>
      <c r="D38" s="1" t="s">
        <v>25</v>
      </c>
      <c r="E38" s="7">
        <v>50000</v>
      </c>
      <c r="F38" s="6">
        <v>6</v>
      </c>
      <c r="G38" s="12">
        <f t="shared" si="0"/>
        <v>300000</v>
      </c>
      <c r="H38" s="15" t="s">
        <v>66</v>
      </c>
      <c r="I38" s="5" t="s">
        <v>77</v>
      </c>
      <c r="J38" s="2">
        <v>0</v>
      </c>
      <c r="K38" s="3">
        <f>300000-42601-26251-5663+1760-3512-5670-0</f>
        <v>218063</v>
      </c>
      <c r="M38" s="49" t="s">
        <v>340</v>
      </c>
      <c r="O38" s="19" t="s">
        <v>111</v>
      </c>
      <c r="P38" s="19" t="s">
        <v>248</v>
      </c>
      <c r="Q38" s="41">
        <v>218063</v>
      </c>
      <c r="R38" s="41">
        <v>0</v>
      </c>
      <c r="S38" s="41">
        <f t="shared" si="1"/>
        <v>218063</v>
      </c>
      <c r="T38" s="19" t="str">
        <f t="shared" si="2"/>
        <v>O</v>
      </c>
    </row>
    <row r="39" spans="1:20" ht="27.75" customHeight="1">
      <c r="A39" s="17">
        <v>37</v>
      </c>
      <c r="B39" s="18" t="s">
        <v>44</v>
      </c>
      <c r="C39" s="8" t="s">
        <v>43</v>
      </c>
      <c r="D39" s="1" t="s">
        <v>24</v>
      </c>
      <c r="E39" s="7">
        <v>100000</v>
      </c>
      <c r="F39" s="6">
        <v>3</v>
      </c>
      <c r="G39" s="12">
        <f t="shared" si="0"/>
        <v>300000</v>
      </c>
      <c r="H39" s="27" t="s">
        <v>255</v>
      </c>
      <c r="I39" s="26" t="s">
        <v>279</v>
      </c>
      <c r="J39" s="2">
        <v>35349</v>
      </c>
      <c r="K39" s="3">
        <f>24327-35349+311022</f>
        <v>300000</v>
      </c>
      <c r="L39" s="77" t="s">
        <v>327</v>
      </c>
      <c r="M39" s="31" t="s">
        <v>328</v>
      </c>
      <c r="N39" s="19" t="s">
        <v>212</v>
      </c>
      <c r="O39" s="19" t="s">
        <v>112</v>
      </c>
      <c r="P39" s="19" t="s">
        <v>248</v>
      </c>
      <c r="Q39" s="41">
        <v>24327</v>
      </c>
      <c r="R39" s="41">
        <v>33665</v>
      </c>
      <c r="S39" s="41">
        <f t="shared" si="1"/>
        <v>-9338</v>
      </c>
      <c r="T39" s="19" t="str">
        <f t="shared" si="2"/>
        <v>X</v>
      </c>
    </row>
    <row r="40" spans="1:20" ht="27.75" customHeight="1">
      <c r="A40" s="17">
        <v>38</v>
      </c>
      <c r="B40" s="16" t="s">
        <v>45</v>
      </c>
      <c r="C40" s="9" t="s">
        <v>59</v>
      </c>
      <c r="D40" s="1" t="s">
        <v>60</v>
      </c>
      <c r="E40" s="7">
        <v>30000</v>
      </c>
      <c r="F40" s="6">
        <v>3</v>
      </c>
      <c r="G40" s="12">
        <f t="shared" si="0"/>
        <v>90000</v>
      </c>
      <c r="H40" s="33" t="s">
        <v>49</v>
      </c>
      <c r="I40" s="33" t="s">
        <v>58</v>
      </c>
      <c r="J40" s="2">
        <v>18257</v>
      </c>
      <c r="K40" s="3">
        <f>90000-16298-1806-7088+1418-15750-(-1796)-4709-9881-4662-88-7820-18257</f>
        <v>6855</v>
      </c>
      <c r="M40" s="31" t="s">
        <v>336</v>
      </c>
      <c r="O40" s="19" t="s">
        <v>133</v>
      </c>
      <c r="P40" s="19" t="s">
        <v>247</v>
      </c>
      <c r="Q40" s="41">
        <v>25112</v>
      </c>
      <c r="R40" s="41">
        <v>17388</v>
      </c>
      <c r="S40" s="41">
        <f t="shared" si="1"/>
        <v>7724</v>
      </c>
      <c r="T40" s="19" t="str">
        <f t="shared" si="2"/>
        <v>X</v>
      </c>
    </row>
    <row r="41" spans="1:20" ht="27.75" customHeight="1">
      <c r="A41" s="17">
        <v>39</v>
      </c>
      <c r="B41" s="18" t="s">
        <v>93</v>
      </c>
      <c r="C41" s="8" t="s">
        <v>41</v>
      </c>
      <c r="D41" s="1" t="s">
        <v>24</v>
      </c>
      <c r="E41" s="7">
        <v>100000</v>
      </c>
      <c r="F41" s="6">
        <v>3</v>
      </c>
      <c r="G41" s="12">
        <v>300000</v>
      </c>
      <c r="H41" s="15" t="s">
        <v>200</v>
      </c>
      <c r="I41" s="5"/>
      <c r="J41" s="2">
        <v>38834</v>
      </c>
      <c r="K41" s="3">
        <f>0-38834+39200</f>
        <v>366</v>
      </c>
      <c r="L41" s="19" t="s">
        <v>26</v>
      </c>
      <c r="M41" s="31" t="s">
        <v>340</v>
      </c>
      <c r="N41" s="19" t="s">
        <v>197</v>
      </c>
      <c r="O41" s="19" t="s">
        <v>125</v>
      </c>
      <c r="P41" s="19" t="s">
        <v>246</v>
      </c>
      <c r="Q41" s="41">
        <v>0</v>
      </c>
      <c r="R41" s="41">
        <v>37366</v>
      </c>
      <c r="S41" s="41">
        <f t="shared" si="1"/>
        <v>-37366</v>
      </c>
      <c r="T41" s="19" t="str">
        <f t="shared" si="2"/>
        <v>X</v>
      </c>
    </row>
    <row r="42" spans="1:20" ht="27.75" customHeight="1">
      <c r="A42" s="17">
        <v>40</v>
      </c>
      <c r="B42" s="14" t="s">
        <v>17</v>
      </c>
      <c r="C42" s="13" t="s">
        <v>98</v>
      </c>
      <c r="D42" s="1" t="s">
        <v>25</v>
      </c>
      <c r="E42" s="7">
        <v>50000</v>
      </c>
      <c r="F42" s="6">
        <v>6</v>
      </c>
      <c r="G42" s="12">
        <f t="shared" si="0"/>
        <v>300000</v>
      </c>
      <c r="H42" s="56" t="s">
        <v>202</v>
      </c>
      <c r="I42" s="56" t="s">
        <v>300</v>
      </c>
      <c r="J42" s="2">
        <v>45003</v>
      </c>
      <c r="K42" s="3">
        <f>42670+309800-102470-54520+4520-45003</f>
        <v>154997</v>
      </c>
      <c r="L42" s="60" t="s">
        <v>301</v>
      </c>
      <c r="M42" s="31" t="s">
        <v>340</v>
      </c>
      <c r="N42" s="61" t="s">
        <v>304</v>
      </c>
      <c r="O42" s="19" t="s">
        <v>139</v>
      </c>
      <c r="P42" s="19" t="s">
        <v>249</v>
      </c>
      <c r="Q42" s="41">
        <v>200000</v>
      </c>
      <c r="R42" s="41">
        <v>-20494</v>
      </c>
      <c r="S42" s="41">
        <f t="shared" si="1"/>
        <v>220494</v>
      </c>
      <c r="T42" s="19" t="str">
        <f t="shared" si="2"/>
        <v>X</v>
      </c>
    </row>
    <row r="43" spans="1:20" ht="27.75" customHeight="1">
      <c r="A43" s="17">
        <v>41</v>
      </c>
      <c r="B43" s="14" t="s">
        <v>40</v>
      </c>
      <c r="C43" s="13" t="s">
        <v>241</v>
      </c>
      <c r="D43" s="1" t="s">
        <v>25</v>
      </c>
      <c r="E43" s="7">
        <v>50000</v>
      </c>
      <c r="F43" s="6">
        <v>6</v>
      </c>
      <c r="G43" s="12">
        <f t="shared" si="0"/>
        <v>300000</v>
      </c>
      <c r="H43" s="5" t="s">
        <v>138</v>
      </c>
      <c r="I43" s="5" t="s">
        <v>279</v>
      </c>
      <c r="J43" s="2">
        <v>-2132</v>
      </c>
      <c r="K43" s="3">
        <f>300000-29215-14931-13608-(-2132)</f>
        <v>244378</v>
      </c>
      <c r="L43" s="45" t="s">
        <v>278</v>
      </c>
      <c r="M43" s="31" t="s">
        <v>336</v>
      </c>
      <c r="N43" s="45" t="s">
        <v>280</v>
      </c>
      <c r="O43" s="19" t="s">
        <v>128</v>
      </c>
      <c r="P43" s="19" t="s">
        <v>247</v>
      </c>
      <c r="Q43" s="41">
        <v>242246</v>
      </c>
      <c r="R43" s="41">
        <v>-2030</v>
      </c>
      <c r="S43" s="41">
        <f t="shared" si="1"/>
        <v>244276</v>
      </c>
      <c r="T43" s="19" t="str">
        <f t="shared" si="2"/>
        <v>X</v>
      </c>
    </row>
    <row r="44" spans="1:20" ht="27.75" customHeight="1">
      <c r="A44" s="17">
        <v>42</v>
      </c>
      <c r="B44" s="14" t="s">
        <v>40</v>
      </c>
      <c r="C44" s="13" t="s">
        <v>242</v>
      </c>
      <c r="D44" s="1" t="s">
        <v>16</v>
      </c>
      <c r="E44" s="7">
        <v>50000</v>
      </c>
      <c r="F44" s="6">
        <v>6</v>
      </c>
      <c r="G44" s="12">
        <f t="shared" si="0"/>
        <v>300000</v>
      </c>
      <c r="H44" s="56" t="s">
        <v>218</v>
      </c>
      <c r="I44" s="73" t="s">
        <v>300</v>
      </c>
      <c r="J44" s="2">
        <v>114611</v>
      </c>
      <c r="K44" s="3">
        <f>17792+300000-24147-114611</f>
        <v>179034</v>
      </c>
      <c r="L44" s="72" t="s">
        <v>294</v>
      </c>
      <c r="M44" s="31" t="s">
        <v>340</v>
      </c>
      <c r="N44" s="52" t="s">
        <v>295</v>
      </c>
      <c r="O44" s="19" t="s">
        <v>129</v>
      </c>
      <c r="P44" s="19" t="s">
        <v>247</v>
      </c>
      <c r="Q44" s="41">
        <v>293645</v>
      </c>
      <c r="R44" s="41">
        <v>109153</v>
      </c>
      <c r="S44" s="41">
        <f t="shared" si="1"/>
        <v>184492</v>
      </c>
      <c r="T44" s="19" t="str">
        <f t="shared" si="2"/>
        <v>X</v>
      </c>
    </row>
    <row r="45" spans="1:20" ht="27.75" customHeight="1">
      <c r="A45" s="17">
        <v>43</v>
      </c>
      <c r="B45" s="14" t="s">
        <v>17</v>
      </c>
      <c r="C45" s="13" t="s">
        <v>89</v>
      </c>
      <c r="D45" s="1" t="s">
        <v>24</v>
      </c>
      <c r="E45" s="7">
        <v>100000</v>
      </c>
      <c r="F45" s="6">
        <v>3</v>
      </c>
      <c r="G45" s="12">
        <f t="shared" si="0"/>
        <v>300000</v>
      </c>
      <c r="H45" s="5" t="s">
        <v>138</v>
      </c>
      <c r="I45" s="10" t="s">
        <v>218</v>
      </c>
      <c r="J45" s="2">
        <v>13701</v>
      </c>
      <c r="K45" s="3">
        <f>300000-30131-12413-70480-68455-56711-4628-61530+4340+8-33706+300000-32576-32389-13701</f>
        <v>187628</v>
      </c>
      <c r="L45" s="44" t="s">
        <v>276</v>
      </c>
      <c r="M45" s="31" t="s">
        <v>334</v>
      </c>
      <c r="N45" s="44" t="s">
        <v>277</v>
      </c>
      <c r="O45" s="19" t="s">
        <v>145</v>
      </c>
      <c r="P45" s="19" t="s">
        <v>248</v>
      </c>
      <c r="Q45" s="41">
        <v>201329</v>
      </c>
      <c r="R45" s="41">
        <v>13049</v>
      </c>
      <c r="S45" s="41">
        <f t="shared" si="1"/>
        <v>188280</v>
      </c>
      <c r="T45" s="19" t="str">
        <f t="shared" si="2"/>
        <v>X</v>
      </c>
    </row>
    <row r="46" spans="1:20" ht="27.75" customHeight="1">
      <c r="A46" s="17">
        <v>44</v>
      </c>
      <c r="B46" s="18" t="s">
        <v>44</v>
      </c>
      <c r="C46" s="8" t="s">
        <v>228</v>
      </c>
      <c r="D46" s="1" t="s">
        <v>24</v>
      </c>
      <c r="E46" s="7">
        <v>100000</v>
      </c>
      <c r="F46" s="6">
        <v>3</v>
      </c>
      <c r="G46" s="12">
        <f t="shared" si="0"/>
        <v>300000</v>
      </c>
      <c r="H46" s="27" t="s">
        <v>255</v>
      </c>
      <c r="I46" s="26" t="s">
        <v>292</v>
      </c>
      <c r="J46" s="2">
        <v>143825</v>
      </c>
      <c r="K46" s="3">
        <f>7504+338800-146304</f>
        <v>200000</v>
      </c>
      <c r="L46" s="76" t="s">
        <v>324</v>
      </c>
      <c r="M46" s="31" t="s">
        <v>325</v>
      </c>
      <c r="N46" s="75" t="s">
        <v>326</v>
      </c>
      <c r="O46" s="19" t="s">
        <v>116</v>
      </c>
      <c r="P46" s="19" t="s">
        <v>249</v>
      </c>
      <c r="Q46" s="41">
        <v>7504</v>
      </c>
      <c r="R46" s="41">
        <v>143825</v>
      </c>
      <c r="S46" s="41">
        <f t="shared" si="1"/>
        <v>-136321</v>
      </c>
      <c r="T46" s="19" t="str">
        <f t="shared" si="2"/>
        <v>X</v>
      </c>
    </row>
    <row r="47" spans="1:20" ht="27.75" customHeight="1">
      <c r="A47" s="17">
        <v>45</v>
      </c>
      <c r="B47" s="14" t="s">
        <v>40</v>
      </c>
      <c r="C47" s="13" t="s">
        <v>54</v>
      </c>
      <c r="D47" s="1" t="s">
        <v>25</v>
      </c>
      <c r="E47" s="7">
        <v>50000</v>
      </c>
      <c r="F47" s="6">
        <v>6</v>
      </c>
      <c r="G47" s="12">
        <f t="shared" si="0"/>
        <v>300000</v>
      </c>
      <c r="H47" s="5" t="s">
        <v>202</v>
      </c>
      <c r="I47" s="10" t="s">
        <v>300</v>
      </c>
      <c r="J47" s="2">
        <v>30020</v>
      </c>
      <c r="K47" s="3">
        <f>300000-55884+5884-25011-30020</f>
        <v>194969</v>
      </c>
      <c r="L47" s="47" t="s">
        <v>284</v>
      </c>
      <c r="M47" s="31" t="s">
        <v>336</v>
      </c>
      <c r="N47" s="47" t="s">
        <v>285</v>
      </c>
      <c r="O47" s="19" t="s">
        <v>130</v>
      </c>
      <c r="P47" s="19" t="s">
        <v>247</v>
      </c>
      <c r="Q47" s="41">
        <v>224989</v>
      </c>
      <c r="R47" s="41">
        <v>28590</v>
      </c>
      <c r="S47" s="41">
        <f t="shared" si="1"/>
        <v>196399</v>
      </c>
      <c r="T47" s="19" t="str">
        <f t="shared" si="2"/>
        <v>X</v>
      </c>
    </row>
    <row r="48" spans="1:20" ht="27.75" customHeight="1">
      <c r="A48" s="17">
        <v>46</v>
      </c>
      <c r="B48" s="14" t="s">
        <v>17</v>
      </c>
      <c r="C48" s="13" t="s">
        <v>48</v>
      </c>
      <c r="D48" s="1" t="s">
        <v>25</v>
      </c>
      <c r="E48" s="7">
        <v>100000</v>
      </c>
      <c r="F48" s="6">
        <v>1</v>
      </c>
      <c r="G48" s="12">
        <f t="shared" si="0"/>
        <v>100000</v>
      </c>
      <c r="H48" s="5" t="s">
        <v>140</v>
      </c>
      <c r="I48" s="10" t="s">
        <v>90</v>
      </c>
      <c r="J48" s="2">
        <v>3331</v>
      </c>
      <c r="K48" s="3">
        <f>11922-97770+300000+3839-(-1302)-(-63)-5775-2068-21000-5204-2982-3331</f>
        <v>178996</v>
      </c>
      <c r="M48" s="31" t="s">
        <v>334</v>
      </c>
      <c r="N48" s="19" t="s">
        <v>141</v>
      </c>
      <c r="O48" s="19" t="s">
        <v>142</v>
      </c>
      <c r="P48" s="19" t="s">
        <v>249</v>
      </c>
      <c r="Q48" s="41">
        <v>182327</v>
      </c>
      <c r="R48" s="41">
        <v>3172</v>
      </c>
      <c r="S48" s="41">
        <f t="shared" si="1"/>
        <v>179155</v>
      </c>
      <c r="T48" s="19" t="str">
        <f t="shared" si="2"/>
        <v>X</v>
      </c>
    </row>
    <row r="49" spans="1:20" ht="27.75" customHeight="1">
      <c r="A49" s="17">
        <v>47</v>
      </c>
      <c r="B49" s="14" t="s">
        <v>17</v>
      </c>
      <c r="C49" s="13" t="s">
        <v>53</v>
      </c>
      <c r="D49" s="1" t="s">
        <v>25</v>
      </c>
      <c r="E49" s="7">
        <v>30000</v>
      </c>
      <c r="F49" s="6">
        <v>3</v>
      </c>
      <c r="G49" s="12">
        <f t="shared" si="0"/>
        <v>90000</v>
      </c>
      <c r="H49" s="15" t="s">
        <v>88</v>
      </c>
      <c r="I49" s="5" t="s">
        <v>202</v>
      </c>
      <c r="J49" s="2">
        <v>55199</v>
      </c>
      <c r="K49" s="3">
        <f>18100+300000-59068-22470-(-4620)-41839-55199</f>
        <v>144144</v>
      </c>
      <c r="L49" s="19" t="s">
        <v>265</v>
      </c>
      <c r="M49" s="31" t="s">
        <v>332</v>
      </c>
      <c r="N49" s="19" t="s">
        <v>266</v>
      </c>
      <c r="O49" s="19" t="s">
        <v>158</v>
      </c>
      <c r="P49" s="19" t="s">
        <v>247</v>
      </c>
      <c r="Q49" s="41">
        <v>199343</v>
      </c>
      <c r="R49" s="41">
        <v>52570</v>
      </c>
      <c r="S49" s="41">
        <f t="shared" si="1"/>
        <v>146773</v>
      </c>
      <c r="T49" s="19" t="str">
        <f t="shared" si="2"/>
        <v>X</v>
      </c>
    </row>
    <row r="50" spans="1:20" ht="27.75" customHeight="1">
      <c r="A50" s="17">
        <v>48</v>
      </c>
      <c r="B50" s="16" t="s">
        <v>45</v>
      </c>
      <c r="C50" s="9" t="s">
        <v>207</v>
      </c>
      <c r="D50" s="1" t="s">
        <v>24</v>
      </c>
      <c r="E50" s="7">
        <v>100000</v>
      </c>
      <c r="F50" s="6">
        <v>3</v>
      </c>
      <c r="G50" s="12">
        <f t="shared" si="0"/>
        <v>300000</v>
      </c>
      <c r="H50" s="33" t="s">
        <v>49</v>
      </c>
      <c r="I50" s="33" t="s">
        <v>58</v>
      </c>
      <c r="J50" s="2">
        <v>15939</v>
      </c>
      <c r="K50" s="3">
        <f>300000-59527-9912-7192-22294-25902-23719-19560-2678-5928-7835-2663-20118-22750-5946-1358-5427-21597-15939</f>
        <v>19655</v>
      </c>
      <c r="M50" s="31" t="s">
        <v>334</v>
      </c>
      <c r="O50" s="19" t="s">
        <v>117</v>
      </c>
      <c r="P50" s="19" t="s">
        <v>249</v>
      </c>
      <c r="Q50" s="41">
        <v>35594</v>
      </c>
      <c r="R50" s="41">
        <v>15180</v>
      </c>
      <c r="S50" s="41">
        <f t="shared" si="1"/>
        <v>20414</v>
      </c>
      <c r="T50" s="19" t="str">
        <f t="shared" si="2"/>
        <v>X</v>
      </c>
    </row>
    <row r="51" spans="1:20" ht="27.75" customHeight="1">
      <c r="A51" s="17">
        <v>49</v>
      </c>
      <c r="B51" s="30" t="s">
        <v>21</v>
      </c>
      <c r="C51" s="25" t="s">
        <v>42</v>
      </c>
      <c r="D51" s="1" t="s">
        <v>24</v>
      </c>
      <c r="E51" s="7">
        <v>100000</v>
      </c>
      <c r="F51" s="6">
        <v>3</v>
      </c>
      <c r="G51" s="12">
        <f t="shared" si="0"/>
        <v>300000</v>
      </c>
      <c r="H51" s="23" t="s">
        <v>68</v>
      </c>
      <c r="I51" s="23" t="s">
        <v>70</v>
      </c>
      <c r="J51" s="2">
        <v>16034</v>
      </c>
      <c r="K51" s="3">
        <f>90000-20864-4977-1092-420-9909-23121-6589-14291+593-8560+7673-23543+300000-22705-1987-27416-882-26744-15496-6114-3480-1556-4250-3875-5975-63806-16034</f>
        <v>84580</v>
      </c>
      <c r="M51" s="31" t="s">
        <v>330</v>
      </c>
      <c r="O51" s="19" t="s">
        <v>159</v>
      </c>
      <c r="P51" s="19" t="s">
        <v>247</v>
      </c>
      <c r="Q51" s="41">
        <v>100614</v>
      </c>
      <c r="R51" s="41">
        <v>15270</v>
      </c>
      <c r="S51" s="41">
        <f t="shared" si="1"/>
        <v>85344</v>
      </c>
      <c r="T51" s="19" t="str">
        <f t="shared" si="2"/>
        <v>X</v>
      </c>
    </row>
    <row r="52" spans="1:20" ht="27.75" customHeight="1">
      <c r="A52" s="17">
        <v>50</v>
      </c>
      <c r="B52" s="16" t="s">
        <v>45</v>
      </c>
      <c r="C52" s="9" t="s">
        <v>81</v>
      </c>
      <c r="D52" s="1" t="s">
        <v>24</v>
      </c>
      <c r="E52" s="7">
        <v>100000</v>
      </c>
      <c r="F52" s="6">
        <v>3</v>
      </c>
      <c r="G52" s="12">
        <f t="shared" si="0"/>
        <v>300000</v>
      </c>
      <c r="H52" s="32" t="s">
        <v>33</v>
      </c>
      <c r="I52" s="32" t="s">
        <v>35</v>
      </c>
      <c r="J52" s="2">
        <v>966</v>
      </c>
      <c r="K52" s="3">
        <f>300000-102971-13210-34112-93151-2640-9150-8556+904-2570-10892-560+7196-10260-9600+664-9274+300000-3969-8282-3914-2667-31332+775-8822-31857-12411-36204-3812+384-81890-2699-3150-6936-2392-7728-1932-7367-(-1554)-3969-(-832)-15015-23069-(-1859)-966</f>
        <v>6839</v>
      </c>
      <c r="M52" s="31" t="s">
        <v>336</v>
      </c>
      <c r="O52" s="19" t="s">
        <v>160</v>
      </c>
      <c r="P52" s="19" t="s">
        <v>247</v>
      </c>
      <c r="Q52" s="41">
        <v>7805</v>
      </c>
      <c r="R52" s="41">
        <v>920</v>
      </c>
      <c r="S52" s="41">
        <f t="shared" si="1"/>
        <v>6885</v>
      </c>
      <c r="T52" s="19" t="str">
        <f t="shared" si="2"/>
        <v>X</v>
      </c>
    </row>
    <row r="53" spans="1:20" ht="27.75" customHeight="1">
      <c r="A53" s="17">
        <v>51</v>
      </c>
      <c r="B53" s="14" t="s">
        <v>40</v>
      </c>
      <c r="C53" s="13" t="s">
        <v>61</v>
      </c>
      <c r="D53" s="1" t="s">
        <v>25</v>
      </c>
      <c r="E53" s="7">
        <v>50000</v>
      </c>
      <c r="F53" s="6">
        <v>6</v>
      </c>
      <c r="G53" s="12">
        <f t="shared" si="0"/>
        <v>300000</v>
      </c>
      <c r="H53" s="5" t="s">
        <v>74</v>
      </c>
      <c r="I53" s="5" t="s">
        <v>218</v>
      </c>
      <c r="J53" s="2">
        <v>-840</v>
      </c>
      <c r="K53" s="3">
        <f>6424-4347-578-4599+3100+26230+300000-76230-(-3696)-8043-45507-41375-(-840)</f>
        <v>159611</v>
      </c>
      <c r="M53" s="31" t="s">
        <v>328</v>
      </c>
      <c r="N53" s="19" t="s">
        <v>219</v>
      </c>
      <c r="O53" s="19" t="s">
        <v>187</v>
      </c>
      <c r="P53" s="19" t="s">
        <v>249</v>
      </c>
      <c r="Q53" s="41">
        <v>158771</v>
      </c>
      <c r="R53" s="41">
        <v>-800</v>
      </c>
      <c r="S53" s="41">
        <f t="shared" si="1"/>
        <v>159571</v>
      </c>
      <c r="T53" s="19" t="str">
        <f t="shared" si="2"/>
        <v>X</v>
      </c>
    </row>
    <row r="54" spans="1:20" ht="27.75" customHeight="1">
      <c r="A54" s="17">
        <v>52</v>
      </c>
      <c r="B54" s="14" t="s">
        <v>40</v>
      </c>
      <c r="C54" s="13" t="s">
        <v>47</v>
      </c>
      <c r="D54" s="1" t="s">
        <v>24</v>
      </c>
      <c r="E54" s="7">
        <v>100000</v>
      </c>
      <c r="F54" s="6">
        <v>3</v>
      </c>
      <c r="G54" s="12">
        <f t="shared" si="0"/>
        <v>300000</v>
      </c>
      <c r="H54" s="5" t="s">
        <v>224</v>
      </c>
      <c r="I54" s="5" t="s">
        <v>138</v>
      </c>
      <c r="J54" s="2">
        <v>0</v>
      </c>
      <c r="K54" s="3">
        <f>18120+143693-161813+300000-(-8841)-(-305)-17566-5534-135160+134988-0</f>
        <v>285874</v>
      </c>
      <c r="M54" s="49" t="s">
        <v>340</v>
      </c>
      <c r="N54" s="19" t="s">
        <v>210</v>
      </c>
      <c r="O54" s="19" t="s">
        <v>131</v>
      </c>
      <c r="P54" s="19" t="s">
        <v>247</v>
      </c>
      <c r="Q54" s="41">
        <v>285874</v>
      </c>
      <c r="R54" s="41">
        <v>0</v>
      </c>
      <c r="S54" s="41">
        <f t="shared" si="1"/>
        <v>285874</v>
      </c>
      <c r="T54" s="19" t="str">
        <f t="shared" si="2"/>
        <v>O</v>
      </c>
    </row>
    <row r="55" spans="1:20" ht="27.75" customHeight="1">
      <c r="A55" s="17">
        <v>53</v>
      </c>
      <c r="B55" s="16" t="s">
        <v>45</v>
      </c>
      <c r="C55" s="9" t="s">
        <v>243</v>
      </c>
      <c r="D55" s="1" t="s">
        <v>25</v>
      </c>
      <c r="E55" s="7">
        <v>50000</v>
      </c>
      <c r="F55" s="6">
        <v>12</v>
      </c>
      <c r="G55" s="12">
        <f t="shared" si="0"/>
        <v>600000</v>
      </c>
      <c r="H55" s="32" t="s">
        <v>32</v>
      </c>
      <c r="I55" s="32" t="s">
        <v>34</v>
      </c>
      <c r="J55" s="2">
        <v>-2772</v>
      </c>
      <c r="K55" s="3">
        <f>556484+7498+220+2305-10376-7753-2986-10472-6850-4896-6756-5141-14864-5497-16360-74603-23672-26745-24570-10915-2479-1945-33512-4956-38451-27983-3654-21734-10518-11840+268-34623-(-6292)-8957-21538-(-500)-25169-12936-(-2772)</f>
        <v>63588</v>
      </c>
      <c r="M55" s="31" t="s">
        <v>336</v>
      </c>
      <c r="O55" s="19" t="s">
        <v>188</v>
      </c>
      <c r="P55" s="19" t="s">
        <v>247</v>
      </c>
      <c r="Q55" s="41">
        <v>60816</v>
      </c>
      <c r="R55" s="41">
        <v>-2640</v>
      </c>
      <c r="S55" s="41">
        <f t="shared" si="1"/>
        <v>63456</v>
      </c>
      <c r="T55" s="19" t="str">
        <f t="shared" si="2"/>
        <v>X</v>
      </c>
    </row>
    <row r="56" spans="1:20" ht="27.75" customHeight="1">
      <c r="A56" s="17">
        <v>54</v>
      </c>
      <c r="B56" s="30" t="s">
        <v>21</v>
      </c>
      <c r="C56" s="25" t="s">
        <v>82</v>
      </c>
      <c r="D56" s="1" t="s">
        <v>24</v>
      </c>
      <c r="E56" s="7">
        <v>100000</v>
      </c>
      <c r="F56" s="6">
        <v>2</v>
      </c>
      <c r="G56" s="12">
        <f t="shared" si="0"/>
        <v>200000</v>
      </c>
      <c r="H56" s="23" t="s">
        <v>178</v>
      </c>
      <c r="I56" s="23" t="s">
        <v>71</v>
      </c>
      <c r="J56" s="2">
        <v>0</v>
      </c>
      <c r="K56" s="3">
        <f>200000-(-7917)-0-0</f>
        <v>207917</v>
      </c>
      <c r="M56" s="49" t="s">
        <v>340</v>
      </c>
      <c r="N56" s="19" t="s">
        <v>177</v>
      </c>
      <c r="O56" s="19" t="s">
        <v>176</v>
      </c>
      <c r="P56" s="19" t="s">
        <v>246</v>
      </c>
      <c r="Q56" s="41">
        <v>207917</v>
      </c>
      <c r="R56" s="41">
        <v>0</v>
      </c>
      <c r="S56" s="41">
        <f t="shared" si="1"/>
        <v>207917</v>
      </c>
      <c r="T56" s="19" t="str">
        <f t="shared" si="2"/>
        <v>O</v>
      </c>
    </row>
    <row r="57" spans="1:20" ht="27.75" customHeight="1">
      <c r="A57" s="17">
        <v>55</v>
      </c>
      <c r="B57" s="14" t="s">
        <v>40</v>
      </c>
      <c r="C57" s="14" t="s">
        <v>51</v>
      </c>
      <c r="D57" s="1" t="s">
        <v>25</v>
      </c>
      <c r="E57" s="7">
        <v>50000</v>
      </c>
      <c r="F57" s="6">
        <v>6</v>
      </c>
      <c r="G57" s="12">
        <f t="shared" si="0"/>
        <v>300000</v>
      </c>
      <c r="H57" s="5" t="s">
        <v>64</v>
      </c>
      <c r="I57" s="5" t="s">
        <v>90</v>
      </c>
      <c r="J57" s="2">
        <v>0</v>
      </c>
      <c r="K57" s="3">
        <f>291213-8534-415-33896-7648-8294-25977-1182-1722-13726-0-1890-0</f>
        <v>187929</v>
      </c>
      <c r="M57" s="49" t="s">
        <v>340</v>
      </c>
      <c r="O57" s="19" t="s">
        <v>127</v>
      </c>
      <c r="P57" s="19" t="s">
        <v>249</v>
      </c>
      <c r="Q57" s="41">
        <v>187929</v>
      </c>
      <c r="R57" s="41">
        <v>0</v>
      </c>
      <c r="S57" s="41">
        <f t="shared" si="1"/>
        <v>187929</v>
      </c>
      <c r="T57" s="19" t="str">
        <f t="shared" si="2"/>
        <v>O</v>
      </c>
    </row>
    <row r="58" spans="1:20" ht="27.75" customHeight="1">
      <c r="A58" s="17">
        <v>56</v>
      </c>
      <c r="B58" s="14" t="s">
        <v>40</v>
      </c>
      <c r="C58" s="14" t="s">
        <v>28</v>
      </c>
      <c r="D58" s="1" t="s">
        <v>24</v>
      </c>
      <c r="E58" s="7">
        <v>100000</v>
      </c>
      <c r="F58" s="6">
        <v>3</v>
      </c>
      <c r="G58" s="12">
        <f t="shared" si="0"/>
        <v>300000</v>
      </c>
      <c r="H58" s="5" t="s">
        <v>90</v>
      </c>
      <c r="I58" s="5" t="s">
        <v>202</v>
      </c>
      <c r="J58" s="2">
        <v>40201</v>
      </c>
      <c r="K58" s="3">
        <f>18092+300000-64117-22203-64266-33368-8329-22706-5462-5938-2416-37338-16832-83152+300000-17026-(-9888)-29563-35177-18692-(-788)-40201</f>
        <v>121982</v>
      </c>
      <c r="M58" s="31" t="s">
        <v>340</v>
      </c>
      <c r="N58" s="19" t="s">
        <v>195</v>
      </c>
      <c r="O58" s="19" t="s">
        <v>143</v>
      </c>
      <c r="P58" s="19" t="s">
        <v>249</v>
      </c>
      <c r="Q58" s="41">
        <v>162183</v>
      </c>
      <c r="R58" s="41">
        <v>40134</v>
      </c>
      <c r="S58" s="41">
        <f t="shared" si="1"/>
        <v>122049</v>
      </c>
      <c r="T58" s="19" t="str">
        <f t="shared" si="2"/>
        <v>X</v>
      </c>
    </row>
    <row r="59" spans="1:20" ht="27.75" customHeight="1">
      <c r="A59" s="17">
        <v>57</v>
      </c>
      <c r="B59" s="30" t="s">
        <v>21</v>
      </c>
      <c r="C59" s="25" t="s">
        <v>27</v>
      </c>
      <c r="D59" s="1" t="s">
        <v>24</v>
      </c>
      <c r="E59" s="7">
        <v>100000</v>
      </c>
      <c r="F59" s="6">
        <v>3</v>
      </c>
      <c r="G59" s="12">
        <f t="shared" si="0"/>
        <v>300000</v>
      </c>
      <c r="H59" s="23" t="s">
        <v>72</v>
      </c>
      <c r="I59" s="23" t="s">
        <v>71</v>
      </c>
      <c r="J59" s="2">
        <v>25148</v>
      </c>
      <c r="K59" s="3">
        <f>300000-25355-14719-51053-51719-11218-41105-126-13914-158364+300000-120656-6950-31284-4508-17130-1494-(-2352)-(-605)-7350-25148</f>
        <v>20864</v>
      </c>
      <c r="M59" s="31" t="s">
        <v>334</v>
      </c>
      <c r="N59" s="19" t="s">
        <v>100</v>
      </c>
      <c r="O59" s="19" t="s">
        <v>169</v>
      </c>
      <c r="P59" s="19" t="s">
        <v>248</v>
      </c>
      <c r="Q59" s="41">
        <v>46012</v>
      </c>
      <c r="R59" s="41">
        <v>23950</v>
      </c>
      <c r="S59" s="41">
        <f t="shared" si="1"/>
        <v>22062</v>
      </c>
      <c r="T59" s="19" t="str">
        <f t="shared" si="2"/>
        <v>X</v>
      </c>
    </row>
    <row r="60" spans="1:20" ht="27.75" customHeight="1">
      <c r="A60" s="17">
        <v>58</v>
      </c>
      <c r="B60" s="18" t="s">
        <v>44</v>
      </c>
      <c r="C60" s="8" t="s">
        <v>56</v>
      </c>
      <c r="D60" s="1" t="s">
        <v>25</v>
      </c>
      <c r="E60" s="7">
        <v>100000</v>
      </c>
      <c r="F60" s="6">
        <v>1</v>
      </c>
      <c r="G60" s="12">
        <f t="shared" si="0"/>
        <v>100000</v>
      </c>
      <c r="H60" s="15" t="s">
        <v>71</v>
      </c>
      <c r="I60" s="5"/>
      <c r="J60" s="2">
        <v>0</v>
      </c>
      <c r="K60" s="3">
        <f>90000-49135-31500+8001-7207+920+100000-50715-2617-6556-12090-34997-4253+149-0</f>
        <v>0</v>
      </c>
      <c r="L60" s="19" t="s">
        <v>26</v>
      </c>
      <c r="M60" s="49" t="s">
        <v>340</v>
      </c>
      <c r="N60" s="19" t="s">
        <v>161</v>
      </c>
      <c r="O60" s="19" t="s">
        <v>120</v>
      </c>
      <c r="P60" s="19" t="s">
        <v>249</v>
      </c>
      <c r="Q60" s="41">
        <v>0</v>
      </c>
      <c r="R60" s="41">
        <v>0</v>
      </c>
      <c r="S60" s="41">
        <f t="shared" si="1"/>
        <v>0</v>
      </c>
      <c r="T60" s="19" t="str">
        <f t="shared" si="2"/>
        <v>O</v>
      </c>
    </row>
    <row r="61" spans="1:20" ht="27.75" customHeight="1">
      <c r="A61" s="17">
        <v>59</v>
      </c>
      <c r="B61" s="14" t="s">
        <v>17</v>
      </c>
      <c r="C61" s="13" t="s">
        <v>76</v>
      </c>
      <c r="D61" s="1" t="s">
        <v>16</v>
      </c>
      <c r="E61" s="7">
        <v>100000</v>
      </c>
      <c r="F61" s="6">
        <v>3</v>
      </c>
      <c r="G61" s="12">
        <f t="shared" si="0"/>
        <v>300000</v>
      </c>
      <c r="H61" s="15" t="s">
        <v>71</v>
      </c>
      <c r="I61" s="5" t="s">
        <v>74</v>
      </c>
      <c r="J61" s="2">
        <v>15089</v>
      </c>
      <c r="K61" s="3">
        <f>300000-57944-22743-10634-6377-40275-18188-13242-10332-15089</f>
        <v>105176</v>
      </c>
      <c r="M61" s="31" t="s">
        <v>334</v>
      </c>
      <c r="N61" s="19" t="s">
        <v>122</v>
      </c>
      <c r="O61" s="19" t="s">
        <v>121</v>
      </c>
      <c r="P61" s="19" t="s">
        <v>249</v>
      </c>
      <c r="Q61" s="41">
        <v>120265</v>
      </c>
      <c r="R61" s="41">
        <v>14370</v>
      </c>
      <c r="S61" s="41">
        <f t="shared" si="1"/>
        <v>105895</v>
      </c>
      <c r="T61" s="19" t="str">
        <f t="shared" si="2"/>
        <v>X</v>
      </c>
    </row>
    <row r="62" spans="1:20" ht="27.75" customHeight="1">
      <c r="A62" s="17">
        <v>60</v>
      </c>
      <c r="B62" s="14" t="s">
        <v>17</v>
      </c>
      <c r="C62" s="13" t="s">
        <v>62</v>
      </c>
      <c r="D62" s="1" t="s">
        <v>25</v>
      </c>
      <c r="E62" s="7">
        <v>50000</v>
      </c>
      <c r="F62" s="6">
        <v>6</v>
      </c>
      <c r="G62" s="12">
        <f t="shared" si="0"/>
        <v>300000</v>
      </c>
      <c r="H62" s="15" t="s">
        <v>224</v>
      </c>
      <c r="I62" s="5" t="s">
        <v>258</v>
      </c>
      <c r="J62" s="2">
        <v>99557</v>
      </c>
      <c r="K62" s="3">
        <f>300000-7875-9736-(-1040)-0-7350-99557</f>
        <v>176522</v>
      </c>
      <c r="L62" s="20"/>
      <c r="M62" s="31" t="s">
        <v>336</v>
      </c>
      <c r="N62" s="20" t="s">
        <v>251</v>
      </c>
      <c r="O62" s="19" t="s">
        <v>168</v>
      </c>
      <c r="P62" s="19" t="s">
        <v>248</v>
      </c>
      <c r="Q62" s="41">
        <v>276079</v>
      </c>
      <c r="R62" s="41">
        <v>101840</v>
      </c>
      <c r="S62" s="41">
        <f t="shared" si="1"/>
        <v>174239</v>
      </c>
      <c r="T62" s="19" t="str">
        <f t="shared" si="2"/>
        <v>X</v>
      </c>
    </row>
    <row r="63" spans="1:20" ht="27.75" customHeight="1">
      <c r="A63" s="17">
        <v>61</v>
      </c>
      <c r="B63" s="14" t="s">
        <v>17</v>
      </c>
      <c r="C63" s="13" t="s">
        <v>31</v>
      </c>
      <c r="D63" s="1" t="s">
        <v>24</v>
      </c>
      <c r="E63" s="7">
        <v>100000</v>
      </c>
      <c r="F63" s="6">
        <v>3</v>
      </c>
      <c r="G63" s="12">
        <f t="shared" si="0"/>
        <v>300000</v>
      </c>
      <c r="H63" s="15" t="s">
        <v>88</v>
      </c>
      <c r="I63" s="5" t="s">
        <v>202</v>
      </c>
      <c r="J63" s="2">
        <v>275</v>
      </c>
      <c r="K63" s="3">
        <f>300000-48258-108671-7271-9559-275</f>
        <v>125966</v>
      </c>
      <c r="L63" s="19" t="s">
        <v>254</v>
      </c>
      <c r="M63" s="31" t="s">
        <v>336</v>
      </c>
      <c r="N63" s="19" t="s">
        <v>260</v>
      </c>
      <c r="O63" s="19" t="s">
        <v>136</v>
      </c>
      <c r="P63" s="19" t="s">
        <v>247</v>
      </c>
      <c r="Q63" s="41">
        <v>126241</v>
      </c>
      <c r="R63" s="41">
        <v>262</v>
      </c>
      <c r="S63" s="41">
        <f t="shared" si="1"/>
        <v>125979</v>
      </c>
      <c r="T63" s="19" t="str">
        <f t="shared" si="2"/>
        <v>X</v>
      </c>
    </row>
    <row r="64" spans="1:20" ht="27.75" customHeight="1">
      <c r="A64" s="17">
        <v>62</v>
      </c>
      <c r="B64" s="18" t="s">
        <v>44</v>
      </c>
      <c r="C64" s="8" t="s">
        <v>204</v>
      </c>
      <c r="D64" s="1" t="s">
        <v>25</v>
      </c>
      <c r="E64" s="7">
        <v>100000</v>
      </c>
      <c r="F64" s="6">
        <v>1</v>
      </c>
      <c r="G64" s="12">
        <f t="shared" si="0"/>
        <v>100000</v>
      </c>
      <c r="H64" s="5" t="s">
        <v>205</v>
      </c>
      <c r="I64" s="5"/>
      <c r="J64" s="2">
        <v>14669</v>
      </c>
      <c r="K64" s="3">
        <f>100000-35869-(-1732)-9749-6636-16198-24419-4517-14669</f>
        <v>-10325</v>
      </c>
      <c r="L64" s="59" t="s">
        <v>26</v>
      </c>
      <c r="M64" s="31" t="s">
        <v>336</v>
      </c>
      <c r="N64" s="19" t="s">
        <v>206</v>
      </c>
      <c r="O64" s="19" t="s">
        <v>203</v>
      </c>
      <c r="P64" s="19" t="s">
        <v>249</v>
      </c>
      <c r="Q64" s="41">
        <v>4344</v>
      </c>
      <c r="R64" s="41">
        <v>13970</v>
      </c>
      <c r="S64" s="41">
        <f t="shared" si="1"/>
        <v>-9626</v>
      </c>
      <c r="T64" s="19" t="str">
        <f t="shared" si="2"/>
        <v>X</v>
      </c>
    </row>
    <row r="65" spans="1:20" ht="27.75" customHeight="1">
      <c r="A65" s="17">
        <v>63</v>
      </c>
      <c r="B65" s="14" t="s">
        <v>17</v>
      </c>
      <c r="C65" s="13" t="s">
        <v>57</v>
      </c>
      <c r="D65" s="1" t="s">
        <v>25</v>
      </c>
      <c r="E65" s="7">
        <v>50000</v>
      </c>
      <c r="F65" s="6">
        <v>6</v>
      </c>
      <c r="G65" s="12">
        <f t="shared" si="0"/>
        <v>300000</v>
      </c>
      <c r="H65" s="15" t="s">
        <v>71</v>
      </c>
      <c r="I65" s="5" t="s">
        <v>138</v>
      </c>
      <c r="J65" s="2">
        <v>2310</v>
      </c>
      <c r="K65" s="3">
        <f>9182+300000-53834-8363-66119-5118-32723-9160-2310</f>
        <v>131555</v>
      </c>
      <c r="M65" s="31" t="s">
        <v>334</v>
      </c>
      <c r="N65" s="19" t="s">
        <v>162</v>
      </c>
      <c r="O65" s="19" t="s">
        <v>115</v>
      </c>
      <c r="P65" s="19" t="s">
        <v>249</v>
      </c>
      <c r="Q65" s="41">
        <v>133865</v>
      </c>
      <c r="R65" s="41">
        <v>2200</v>
      </c>
      <c r="S65" s="41">
        <f t="shared" si="1"/>
        <v>131665</v>
      </c>
      <c r="T65" s="19" t="str">
        <f t="shared" si="2"/>
        <v>X</v>
      </c>
    </row>
    <row r="66" spans="1:20" ht="27.75" customHeight="1">
      <c r="A66" s="17">
        <v>64</v>
      </c>
      <c r="B66" s="18" t="s">
        <v>44</v>
      </c>
      <c r="C66" s="8" t="s">
        <v>63</v>
      </c>
      <c r="D66" s="1" t="s">
        <v>60</v>
      </c>
      <c r="E66" s="7">
        <v>50000</v>
      </c>
      <c r="F66" s="6">
        <v>6</v>
      </c>
      <c r="G66" s="12">
        <f t="shared" si="0"/>
        <v>300000</v>
      </c>
      <c r="H66" s="15" t="s">
        <v>224</v>
      </c>
      <c r="I66" s="5" t="s">
        <v>138</v>
      </c>
      <c r="J66" s="2">
        <v>152630</v>
      </c>
      <c r="K66" s="3">
        <f>90000-8293+1950-98960+15303+300000-7560-11764-20118-17004+300000-344627-38220-(-6962)-7434-18139-152630+10534</f>
        <v>0</v>
      </c>
      <c r="L66" s="59" t="s">
        <v>26</v>
      </c>
      <c r="M66" s="31" t="s">
        <v>337</v>
      </c>
      <c r="N66" s="19" t="s">
        <v>250</v>
      </c>
      <c r="O66" s="19" t="s">
        <v>132</v>
      </c>
      <c r="P66" s="19" t="s">
        <v>247</v>
      </c>
      <c r="Q66" s="41">
        <v>142096</v>
      </c>
      <c r="R66" s="41">
        <v>145362</v>
      </c>
      <c r="S66" s="41">
        <f t="shared" si="1"/>
        <v>-3266</v>
      </c>
      <c r="T66" s="19" t="str">
        <f t="shared" ref="T66:T76" si="3">IF(K66=S66,"O","X")</f>
        <v>X</v>
      </c>
    </row>
    <row r="67" spans="1:20" ht="27.75" customHeight="1">
      <c r="A67" s="17">
        <v>65</v>
      </c>
      <c r="B67" s="14" t="s">
        <v>17</v>
      </c>
      <c r="C67" s="13" t="s">
        <v>38</v>
      </c>
      <c r="D67" s="1" t="s">
        <v>15</v>
      </c>
      <c r="E67" s="7">
        <v>150000</v>
      </c>
      <c r="F67" s="6">
        <v>6</v>
      </c>
      <c r="G67" s="12">
        <f t="shared" si="0"/>
        <v>900000</v>
      </c>
      <c r="H67" s="15" t="s">
        <v>268</v>
      </c>
      <c r="I67" s="5" t="s">
        <v>269</v>
      </c>
      <c r="J67" s="2">
        <v>70245</v>
      </c>
      <c r="K67" s="3">
        <f>150000*6-99420-18220-135541-82176-70245</f>
        <v>494398</v>
      </c>
      <c r="L67" s="19" t="s">
        <v>267</v>
      </c>
      <c r="M67" s="31" t="s">
        <v>332</v>
      </c>
      <c r="N67" s="19" t="s">
        <v>270</v>
      </c>
      <c r="O67" s="19" t="s">
        <v>175</v>
      </c>
      <c r="P67" s="19" t="s">
        <v>246</v>
      </c>
      <c r="Q67" s="41">
        <v>564643</v>
      </c>
      <c r="R67" s="41">
        <v>68666</v>
      </c>
      <c r="S67" s="41">
        <f t="shared" ref="S67:S76" si="4">Q67-R67</f>
        <v>495977</v>
      </c>
      <c r="T67" s="19" t="str">
        <f t="shared" si="3"/>
        <v>X</v>
      </c>
    </row>
    <row r="68" spans="1:20" ht="27.75" customHeight="1">
      <c r="A68" s="17">
        <v>66</v>
      </c>
      <c r="B68" s="14" t="s">
        <v>17</v>
      </c>
      <c r="C68" s="13" t="s">
        <v>73</v>
      </c>
      <c r="D68" s="1" t="s">
        <v>25</v>
      </c>
      <c r="E68" s="7">
        <v>50000</v>
      </c>
      <c r="F68" s="6">
        <v>6</v>
      </c>
      <c r="G68" s="12">
        <f t="shared" si="0"/>
        <v>300000</v>
      </c>
      <c r="H68" s="55" t="s">
        <v>55</v>
      </c>
      <c r="I68" s="56" t="s">
        <v>71</v>
      </c>
      <c r="J68" s="2">
        <v>11025</v>
      </c>
      <c r="K68" s="3">
        <f>73398+300000-99178-11025</f>
        <v>263195</v>
      </c>
      <c r="L68" s="58" t="s">
        <v>299</v>
      </c>
      <c r="M68" s="31" t="s">
        <v>332</v>
      </c>
      <c r="N68" s="57" t="s">
        <v>298</v>
      </c>
      <c r="O68" s="19" t="s">
        <v>146</v>
      </c>
      <c r="P68" s="19" t="s">
        <v>246</v>
      </c>
      <c r="Q68" s="41">
        <v>274220</v>
      </c>
      <c r="R68" s="41">
        <v>10500</v>
      </c>
      <c r="S68" s="41">
        <f t="shared" si="4"/>
        <v>263720</v>
      </c>
      <c r="T68" s="19" t="str">
        <f t="shared" si="3"/>
        <v>X</v>
      </c>
    </row>
    <row r="69" spans="1:20" ht="27.75" customHeight="1">
      <c r="A69" s="17">
        <v>67</v>
      </c>
      <c r="B69" s="70" t="s">
        <v>30</v>
      </c>
      <c r="C69" s="71" t="s">
        <v>309</v>
      </c>
      <c r="D69" s="1" t="s">
        <v>24</v>
      </c>
      <c r="E69" s="7">
        <v>30000</v>
      </c>
      <c r="F69" s="6">
        <v>3</v>
      </c>
      <c r="G69" s="12">
        <f t="shared" si="0"/>
        <v>90000</v>
      </c>
      <c r="H69" s="55" t="s">
        <v>218</v>
      </c>
      <c r="I69" s="56" t="s">
        <v>258</v>
      </c>
      <c r="J69" s="2">
        <v>5313</v>
      </c>
      <c r="K69" s="3">
        <f>90000-5313</f>
        <v>84687</v>
      </c>
      <c r="L69" s="65" t="s">
        <v>310</v>
      </c>
      <c r="M69" s="31" t="s">
        <v>332</v>
      </c>
      <c r="N69" s="67" t="s">
        <v>308</v>
      </c>
      <c r="O69" s="66" t="s">
        <v>311</v>
      </c>
      <c r="P69" s="66" t="s">
        <v>312</v>
      </c>
      <c r="Q69" s="41">
        <v>90000</v>
      </c>
      <c r="R69" s="41">
        <v>6670</v>
      </c>
      <c r="S69" s="41">
        <f t="shared" si="4"/>
        <v>83330</v>
      </c>
      <c r="T69" s="19" t="str">
        <f t="shared" si="3"/>
        <v>X</v>
      </c>
    </row>
    <row r="70" spans="1:20" ht="27.75" customHeight="1">
      <c r="A70" s="17">
        <v>68</v>
      </c>
      <c r="B70" s="14" t="s">
        <v>40</v>
      </c>
      <c r="C70" s="13" t="s">
        <v>189</v>
      </c>
      <c r="D70" s="1" t="s">
        <v>15</v>
      </c>
      <c r="E70" s="7">
        <v>100000</v>
      </c>
      <c r="F70" s="6">
        <v>3</v>
      </c>
      <c r="G70" s="12">
        <f t="shared" si="0"/>
        <v>300000</v>
      </c>
      <c r="H70" s="15" t="s">
        <v>190</v>
      </c>
      <c r="I70" s="5" t="s">
        <v>191</v>
      </c>
      <c r="J70" s="2">
        <v>8533</v>
      </c>
      <c r="K70" s="3">
        <f>300000-3904-171-22279-24548-4422-0-1502-8533</f>
        <v>234641</v>
      </c>
      <c r="M70" s="31" t="s">
        <v>332</v>
      </c>
      <c r="N70" s="20" t="s">
        <v>171</v>
      </c>
      <c r="O70" s="19" t="s">
        <v>172</v>
      </c>
      <c r="P70" s="19" t="s">
        <v>246</v>
      </c>
      <c r="Q70" s="41">
        <v>243174</v>
      </c>
      <c r="R70" s="41">
        <v>8127</v>
      </c>
      <c r="S70" s="41">
        <f t="shared" si="4"/>
        <v>235047</v>
      </c>
      <c r="T70" s="19" t="str">
        <f t="shared" si="3"/>
        <v>X</v>
      </c>
    </row>
    <row r="71" spans="1:20" ht="27.75" customHeight="1">
      <c r="A71" s="17">
        <v>69</v>
      </c>
      <c r="B71" s="30" t="s">
        <v>21</v>
      </c>
      <c r="C71" s="25" t="s">
        <v>65</v>
      </c>
      <c r="D71" s="1" t="s">
        <v>25</v>
      </c>
      <c r="E71" s="7">
        <v>30000</v>
      </c>
      <c r="F71" s="6">
        <v>3</v>
      </c>
      <c r="G71" s="12">
        <f t="shared" si="0"/>
        <v>90000</v>
      </c>
      <c r="H71" s="24" t="s">
        <v>55</v>
      </c>
      <c r="I71" s="23" t="s">
        <v>70</v>
      </c>
      <c r="J71" s="2">
        <v>19278</v>
      </c>
      <c r="K71" s="3">
        <f>300000-6732-149680+5310-23804-1573-(-4095)-2995-16120-6646-34272-19278</f>
        <v>48305</v>
      </c>
      <c r="M71" s="31" t="s">
        <v>332</v>
      </c>
      <c r="N71" s="20"/>
      <c r="O71" s="19" t="s">
        <v>170</v>
      </c>
      <c r="P71" s="19" t="s">
        <v>246</v>
      </c>
      <c r="Q71" s="41">
        <v>67583</v>
      </c>
      <c r="R71" s="41">
        <v>18360</v>
      </c>
      <c r="S71" s="41">
        <f t="shared" si="4"/>
        <v>49223</v>
      </c>
      <c r="T71" s="19" t="str">
        <f t="shared" si="3"/>
        <v>X</v>
      </c>
    </row>
    <row r="72" spans="1:20" ht="27.75" customHeight="1">
      <c r="A72" s="17">
        <v>70</v>
      </c>
      <c r="B72" s="14" t="s">
        <v>17</v>
      </c>
      <c r="C72" s="13" t="s">
        <v>52</v>
      </c>
      <c r="D72" s="1" t="s">
        <v>25</v>
      </c>
      <c r="E72" s="7">
        <v>30000</v>
      </c>
      <c r="F72" s="6">
        <v>6</v>
      </c>
      <c r="G72" s="12">
        <f t="shared" si="0"/>
        <v>180000</v>
      </c>
      <c r="H72" s="55" t="s">
        <v>218</v>
      </c>
      <c r="I72" s="56" t="s">
        <v>300</v>
      </c>
      <c r="J72" s="2">
        <v>13703</v>
      </c>
      <c r="K72" s="3">
        <f>39664+300000-52605-13703</f>
        <v>273356</v>
      </c>
      <c r="L72" s="63" t="s">
        <v>299</v>
      </c>
      <c r="M72" s="31" t="s">
        <v>334</v>
      </c>
      <c r="N72" s="20"/>
      <c r="O72" s="19" t="s">
        <v>147</v>
      </c>
      <c r="P72" s="19" t="s">
        <v>246</v>
      </c>
      <c r="Q72" s="41">
        <v>287059</v>
      </c>
      <c r="R72" s="41">
        <v>13050</v>
      </c>
      <c r="S72" s="41">
        <f t="shared" si="4"/>
        <v>274009</v>
      </c>
      <c r="T72" s="19" t="str">
        <f t="shared" si="3"/>
        <v>X</v>
      </c>
    </row>
    <row r="73" spans="1:20" ht="27.75" customHeight="1">
      <c r="A73" s="17">
        <v>71</v>
      </c>
      <c r="B73" s="14" t="s">
        <v>40</v>
      </c>
      <c r="C73" s="13" t="s">
        <v>229</v>
      </c>
      <c r="D73" s="1" t="s">
        <v>25</v>
      </c>
      <c r="E73" s="7">
        <v>50000</v>
      </c>
      <c r="F73" s="6">
        <v>6</v>
      </c>
      <c r="G73" s="12">
        <f t="shared" si="0"/>
        <v>300000</v>
      </c>
      <c r="H73" s="15" t="s">
        <v>201</v>
      </c>
      <c r="I73" s="5" t="s">
        <v>227</v>
      </c>
      <c r="J73" s="2">
        <v>127221</v>
      </c>
      <c r="K73" s="3">
        <f>-24769+24769+300000-11519-7175-(-4162)-36815-12891-127221</f>
        <v>108541</v>
      </c>
      <c r="M73" s="31" t="s">
        <v>332</v>
      </c>
      <c r="N73" s="20" t="s">
        <v>226</v>
      </c>
      <c r="O73" s="19" t="s">
        <v>163</v>
      </c>
      <c r="P73" s="19" t="s">
        <v>246</v>
      </c>
      <c r="Q73" s="41">
        <v>235762</v>
      </c>
      <c r="R73" s="41">
        <v>121162</v>
      </c>
      <c r="S73" s="41">
        <f t="shared" si="4"/>
        <v>114600</v>
      </c>
      <c r="T73" s="19" t="str">
        <f t="shared" si="3"/>
        <v>X</v>
      </c>
    </row>
    <row r="74" spans="1:20" ht="27.75" customHeight="1">
      <c r="A74" s="17">
        <v>72</v>
      </c>
      <c r="B74" s="18" t="s">
        <v>93</v>
      </c>
      <c r="C74" s="8" t="s">
        <v>84</v>
      </c>
      <c r="D74" s="1" t="s">
        <v>25</v>
      </c>
      <c r="E74" s="7">
        <v>50000</v>
      </c>
      <c r="F74" s="6">
        <v>6</v>
      </c>
      <c r="G74" s="12">
        <f t="shared" si="0"/>
        <v>300000</v>
      </c>
      <c r="H74" s="15" t="s">
        <v>85</v>
      </c>
      <c r="I74" s="5" t="s">
        <v>86</v>
      </c>
      <c r="J74" s="2">
        <v>88956</v>
      </c>
      <c r="K74" s="3">
        <f>0-88956</f>
        <v>-88956</v>
      </c>
      <c r="L74" s="19" t="s">
        <v>26</v>
      </c>
      <c r="M74" s="31" t="s">
        <v>340</v>
      </c>
      <c r="N74" s="20" t="s">
        <v>87</v>
      </c>
      <c r="O74" s="19" t="s">
        <v>148</v>
      </c>
      <c r="P74" s="19" t="s">
        <v>246</v>
      </c>
      <c r="Q74" s="41">
        <v>0</v>
      </c>
      <c r="R74" s="41">
        <v>84720</v>
      </c>
      <c r="S74" s="41">
        <f t="shared" si="4"/>
        <v>-84720</v>
      </c>
      <c r="T74" s="19" t="str">
        <f t="shared" si="3"/>
        <v>X</v>
      </c>
    </row>
    <row r="75" spans="1:20" ht="27.75" customHeight="1">
      <c r="A75" s="17">
        <v>73</v>
      </c>
      <c r="B75" s="16" t="s">
        <v>45</v>
      </c>
      <c r="C75" s="9" t="s">
        <v>0</v>
      </c>
      <c r="D75" s="1" t="s">
        <v>16</v>
      </c>
      <c r="E75" s="7">
        <v>50000</v>
      </c>
      <c r="F75" s="6">
        <v>10</v>
      </c>
      <c r="G75" s="12">
        <f t="shared" si="0"/>
        <v>500000</v>
      </c>
      <c r="H75" s="32" t="s">
        <v>13</v>
      </c>
      <c r="I75" s="32" t="s">
        <v>14</v>
      </c>
      <c r="J75" s="2">
        <v>0</v>
      </c>
      <c r="K75" s="3">
        <f>3112+4900-0-0</f>
        <v>8012</v>
      </c>
      <c r="M75" s="49" t="s">
        <v>340</v>
      </c>
      <c r="O75" s="19" t="s">
        <v>192</v>
      </c>
      <c r="P75" s="19" t="s">
        <v>248</v>
      </c>
      <c r="Q75" s="41">
        <v>8012</v>
      </c>
      <c r="R75" s="41">
        <v>0</v>
      </c>
      <c r="S75" s="41">
        <f t="shared" si="4"/>
        <v>8012</v>
      </c>
      <c r="T75" s="19" t="str">
        <f t="shared" si="3"/>
        <v>O</v>
      </c>
    </row>
    <row r="76" spans="1:20" ht="27.75" customHeight="1">
      <c r="A76" s="17">
        <v>74</v>
      </c>
      <c r="B76" s="14" t="s">
        <v>40</v>
      </c>
      <c r="C76" s="13" t="s">
        <v>244</v>
      </c>
      <c r="D76" s="1" t="s">
        <v>15</v>
      </c>
      <c r="E76" s="7">
        <v>100000</v>
      </c>
      <c r="F76" s="6">
        <v>3</v>
      </c>
      <c r="G76" s="12">
        <f t="shared" si="0"/>
        <v>300000</v>
      </c>
      <c r="H76" s="15" t="s">
        <v>224</v>
      </c>
      <c r="I76" s="5" t="s">
        <v>138</v>
      </c>
      <c r="J76" s="2">
        <v>54580</v>
      </c>
      <c r="K76" s="3">
        <f>20902+300000-35247-49429-34239-31248-33787-54580</f>
        <v>82372</v>
      </c>
      <c r="L76" s="19" t="s">
        <v>252</v>
      </c>
      <c r="M76" s="31" t="s">
        <v>334</v>
      </c>
      <c r="N76" s="40" t="s">
        <v>253</v>
      </c>
      <c r="O76" s="19" t="s">
        <v>164</v>
      </c>
      <c r="P76" s="19" t="s">
        <v>249</v>
      </c>
      <c r="Q76" s="41">
        <v>136952</v>
      </c>
      <c r="R76" s="41">
        <v>52096</v>
      </c>
      <c r="S76" s="41">
        <f t="shared" si="4"/>
        <v>84856</v>
      </c>
      <c r="T76" s="19" t="str">
        <f t="shared" si="3"/>
        <v>X</v>
      </c>
    </row>
    <row r="77" spans="1:20" ht="21" customHeight="1">
      <c r="A77" s="189" t="s">
        <v>18</v>
      </c>
      <c r="B77" s="189"/>
      <c r="C77" s="189"/>
      <c r="D77" s="189"/>
      <c r="E77" s="190">
        <f>SUM(E3:E76)</f>
        <v>6450000</v>
      </c>
      <c r="F77" s="190"/>
      <c r="G77" s="190"/>
      <c r="H77" s="189" t="s">
        <v>23</v>
      </c>
      <c r="I77" s="189"/>
      <c r="J77" s="190">
        <f>SUM(J3:J76)</f>
        <v>2991059</v>
      </c>
      <c r="K77" s="190"/>
    </row>
    <row r="78" spans="1:20" ht="20.25" customHeight="1">
      <c r="A78" s="189" t="s">
        <v>29</v>
      </c>
      <c r="B78" s="189"/>
      <c r="C78" s="189"/>
      <c r="D78" s="189"/>
      <c r="E78" s="190">
        <f>E77-SUMIF(B3:B76,"待續約",E3:E76)</f>
        <v>5550000</v>
      </c>
      <c r="F78" s="190"/>
      <c r="G78" s="190"/>
      <c r="H78" s="191"/>
      <c r="I78" s="192"/>
      <c r="J78" s="193"/>
      <c r="K78" s="194"/>
    </row>
    <row r="79" spans="1:20" ht="21">
      <c r="A79" s="35" t="s">
        <v>19</v>
      </c>
      <c r="B79" s="4">
        <f>COUNTA(C3:C76)</f>
        <v>74</v>
      </c>
      <c r="C79" s="4" t="s">
        <v>20</v>
      </c>
      <c r="D79" s="4">
        <f>COUNTIF(B3:B76,"嚴重")</f>
        <v>7</v>
      </c>
      <c r="E79" s="4" t="s">
        <v>21</v>
      </c>
      <c r="F79" s="4">
        <f>COUNTIF(B3:B76,"逾期")</f>
        <v>8</v>
      </c>
      <c r="G79" s="36"/>
      <c r="H79" s="4" t="s">
        <v>22</v>
      </c>
      <c r="I79" s="4">
        <f>B79-D79-F79</f>
        <v>59</v>
      </c>
      <c r="J79" s="4" t="s">
        <v>7</v>
      </c>
      <c r="K79" s="37">
        <f>J77/E78</f>
        <v>0.53892954954954952</v>
      </c>
    </row>
    <row r="80" spans="1:20" s="21" customFormat="1">
      <c r="A80" s="19" t="s">
        <v>245</v>
      </c>
      <c r="B80" s="19"/>
      <c r="E80" s="38"/>
      <c r="G80" s="39"/>
      <c r="K80" s="19"/>
      <c r="N80" s="19"/>
      <c r="Q80" s="42"/>
      <c r="R80" s="41"/>
      <c r="S80" s="41"/>
      <c r="T80" s="19"/>
    </row>
    <row r="81" spans="14:14">
      <c r="N81" s="21"/>
    </row>
  </sheetData>
  <autoFilter ref="A2:S80" xr:uid="{00000000-0009-0000-0000-000008000000}"/>
  <mergeCells count="9">
    <mergeCell ref="A78:D78"/>
    <mergeCell ref="E78:G78"/>
    <mergeCell ref="H78:I78"/>
    <mergeCell ref="J78:K78"/>
    <mergeCell ref="A1:K1"/>
    <mergeCell ref="A77:D77"/>
    <mergeCell ref="E77:G77"/>
    <mergeCell ref="H77:I77"/>
    <mergeCell ref="J77:K77"/>
  </mergeCells>
  <phoneticPr fontId="54" type="noConversion"/>
  <conditionalFormatting sqref="A2:C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{1675F4FE-6E9B-4097-A54A-050616707F75}</x14:id>
        </ext>
      </extLst>
    </cfRule>
  </conditionalFormatting>
  <conditionalFormatting sqref="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{6728887A-DF6C-478E-B9FE-1A80B15F2C92}</x14:id>
        </ext>
      </extLst>
    </cfRule>
  </conditionalFormatting>
  <conditionalFormatting sqref="E2:I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{012996E4-FC2F-4B68-9B38-87D3DF63DA8C}</x14:id>
        </ext>
      </extLst>
    </cfRule>
  </conditionalFormatting>
  <conditionalFormatting sqref="J2:K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{38873C1C-2F21-4AE1-AD6A-D31B89F747B8}</x14:id>
        </ext>
      </extLst>
    </cfRule>
  </conditionalFormatting>
  <pageMargins left="0.31496062992125984" right="0.11811023622047245" top="0.15748031496062992" bottom="0" header="0.31496062992125984" footer="0.31496062992125984"/>
  <pageSetup paperSize="9" scale="65" fitToHeight="0" orientation="portrait" verticalDpi="18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75F4FE-6E9B-4097-A54A-050616707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A2:C2</xm:sqref>
        </x14:conditionalFormatting>
        <x14:conditionalFormatting xmlns:xm="http://schemas.microsoft.com/office/excel/2006/main">
          <x14:cfRule type="dataBar" id="{6728887A-DF6C-478E-B9FE-1A80B15F2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012996E4-FC2F-4B68-9B38-87D3DF63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E2:I2</xm:sqref>
        </x14:conditionalFormatting>
        <x14:conditionalFormatting xmlns:xm="http://schemas.microsoft.com/office/excel/2006/main">
          <x14:cfRule type="dataBar" id="{38873C1C-2F21-4AE1-AD6A-D31B89F74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J2:K2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5872-649A-4207-BC2A-A8195496943C}">
  <sheetPr>
    <pageSetUpPr fitToPage="1"/>
  </sheetPr>
  <dimension ref="A1:T81"/>
  <sheetViews>
    <sheetView zoomScale="80" zoomScaleNormal="80" zoomScaleSheetLayoutView="90" workbookViewId="0">
      <pane ySplit="2" topLeftCell="A3" activePane="bottomLeft" state="frozen"/>
      <selection pane="bottomLeft" activeCell="N78" sqref="N78"/>
    </sheetView>
  </sheetViews>
  <sheetFormatPr defaultRowHeight="15.75"/>
  <cols>
    <col min="1" max="1" width="7.25" style="19" customWidth="1"/>
    <col min="2" max="2" width="12.125" style="19" customWidth="1"/>
    <col min="3" max="3" width="13.5" style="21" customWidth="1"/>
    <col min="4" max="4" width="9.875" style="21" customWidth="1"/>
    <col min="5" max="5" width="14.625" style="21" bestFit="1" customWidth="1"/>
    <col min="6" max="6" width="7.5" style="21" customWidth="1"/>
    <col min="7" max="7" width="14" style="39" customWidth="1"/>
    <col min="8" max="8" width="12.75" style="21" customWidth="1"/>
    <col min="9" max="9" width="14.5" style="21" customWidth="1"/>
    <col min="10" max="10" width="20.25" style="21" customWidth="1"/>
    <col min="11" max="11" width="14.75" style="19" customWidth="1"/>
    <col min="12" max="12" width="9" style="19"/>
    <col min="13" max="13" width="9" style="21" customWidth="1"/>
    <col min="14" max="14" width="46.625" style="19" bestFit="1" customWidth="1"/>
    <col min="15" max="15" width="14.375" style="19" customWidth="1"/>
    <col min="16" max="16" width="9" style="19" customWidth="1"/>
    <col min="17" max="18" width="15.25" style="41" customWidth="1"/>
    <col min="19" max="19" width="13" style="41" customWidth="1"/>
    <col min="20" max="20" width="9" style="19" customWidth="1"/>
    <col min="21" max="16384" width="9" style="19"/>
  </cols>
  <sheetData>
    <row r="1" spans="1:20" ht="33.75" customHeight="1">
      <c r="A1" s="195" t="s">
        <v>344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20" s="28" customFormat="1" ht="27" customHeight="1">
      <c r="A2" s="4" t="s">
        <v>5</v>
      </c>
      <c r="B2" s="4" t="s">
        <v>7</v>
      </c>
      <c r="C2" s="4" t="s">
        <v>4</v>
      </c>
      <c r="D2" s="4" t="s">
        <v>8</v>
      </c>
      <c r="E2" s="4" t="s">
        <v>3</v>
      </c>
      <c r="F2" s="4" t="s">
        <v>9</v>
      </c>
      <c r="G2" s="11" t="s">
        <v>2</v>
      </c>
      <c r="H2" s="4" t="s">
        <v>10</v>
      </c>
      <c r="I2" s="4" t="s">
        <v>11</v>
      </c>
      <c r="J2" s="84" t="s">
        <v>343</v>
      </c>
      <c r="K2" s="4" t="s">
        <v>1</v>
      </c>
      <c r="L2" s="28" t="s">
        <v>26</v>
      </c>
      <c r="M2" s="29" t="s">
        <v>271</v>
      </c>
      <c r="N2" s="19" t="s">
        <v>272</v>
      </c>
      <c r="O2" s="28" t="s">
        <v>273</v>
      </c>
      <c r="P2" s="28" t="s">
        <v>274</v>
      </c>
      <c r="Q2" s="43" t="s">
        <v>318</v>
      </c>
      <c r="R2" s="43" t="s">
        <v>341</v>
      </c>
      <c r="S2" s="43" t="s">
        <v>342</v>
      </c>
      <c r="T2" s="28" t="s">
        <v>271</v>
      </c>
    </row>
    <row r="3" spans="1:20" ht="27.75" customHeight="1">
      <c r="A3" s="17">
        <v>1</v>
      </c>
      <c r="B3" s="14" t="s">
        <v>40</v>
      </c>
      <c r="C3" s="13" t="s">
        <v>91</v>
      </c>
      <c r="D3" s="1" t="s">
        <v>15</v>
      </c>
      <c r="E3" s="7">
        <v>100000</v>
      </c>
      <c r="F3" s="6">
        <v>3</v>
      </c>
      <c r="G3" s="12">
        <f>E3*F3</f>
        <v>300000</v>
      </c>
      <c r="H3" s="85" t="s">
        <v>255</v>
      </c>
      <c r="I3" s="85" t="s">
        <v>279</v>
      </c>
      <c r="J3" s="2">
        <v>-4155</v>
      </c>
      <c r="K3" s="3">
        <f>300000-55482-(-4155)</f>
        <v>248673</v>
      </c>
      <c r="L3" s="95" t="s">
        <v>350</v>
      </c>
      <c r="M3" s="31" t="s">
        <v>368</v>
      </c>
      <c r="N3" s="78" t="s">
        <v>333</v>
      </c>
      <c r="O3" s="19" t="s">
        <v>101</v>
      </c>
      <c r="P3" s="19" t="s">
        <v>246</v>
      </c>
      <c r="Q3" s="41">
        <v>244518</v>
      </c>
      <c r="R3" s="41">
        <v>-3957</v>
      </c>
      <c r="S3" s="41">
        <f>Q3-R3</f>
        <v>248475</v>
      </c>
      <c r="T3" s="19" t="str">
        <f>IF(K3=S3,"O","X")</f>
        <v>X</v>
      </c>
    </row>
    <row r="4" spans="1:20" ht="27.75" customHeight="1">
      <c r="A4" s="17">
        <v>2</v>
      </c>
      <c r="B4" s="14" t="s">
        <v>40</v>
      </c>
      <c r="C4" s="13" t="s">
        <v>275</v>
      </c>
      <c r="D4" s="1" t="s">
        <v>24</v>
      </c>
      <c r="E4" s="7">
        <v>300000</v>
      </c>
      <c r="F4" s="6">
        <v>1</v>
      </c>
      <c r="G4" s="12">
        <f t="shared" ref="G4:G76" si="0">E4*F4</f>
        <v>300000</v>
      </c>
      <c r="H4" s="99" t="s">
        <v>279</v>
      </c>
      <c r="I4" s="100" t="s">
        <v>300</v>
      </c>
      <c r="J4" s="2">
        <v>135659</v>
      </c>
      <c r="K4" s="3">
        <f>300000-183901-135659+19560+300000</f>
        <v>300000</v>
      </c>
      <c r="L4" s="98" t="s">
        <v>370</v>
      </c>
      <c r="M4" s="31" t="s">
        <v>369</v>
      </c>
      <c r="N4" s="97" t="s">
        <v>371</v>
      </c>
      <c r="O4" s="19" t="s">
        <v>179</v>
      </c>
      <c r="P4" s="19" t="s">
        <v>247</v>
      </c>
      <c r="Q4" s="41">
        <v>116099</v>
      </c>
      <c r="R4" s="41">
        <v>121294</v>
      </c>
      <c r="S4" s="41">
        <f t="shared" ref="S4:S67" si="1">Q4-R4</f>
        <v>-5195</v>
      </c>
      <c r="T4" s="19" t="str">
        <f t="shared" ref="T4:T67" si="2">IF(K4=S4,"O","X")</f>
        <v>X</v>
      </c>
    </row>
    <row r="5" spans="1:20" ht="27.75" customHeight="1">
      <c r="A5" s="17">
        <v>3</v>
      </c>
      <c r="B5" s="16" t="s">
        <v>45</v>
      </c>
      <c r="C5" s="9" t="s">
        <v>230</v>
      </c>
      <c r="D5" s="1" t="s">
        <v>24</v>
      </c>
      <c r="E5" s="7">
        <v>150000</v>
      </c>
      <c r="F5" s="6">
        <v>6</v>
      </c>
      <c r="G5" s="12">
        <f t="shared" si="0"/>
        <v>900000</v>
      </c>
      <c r="H5" s="89" t="s">
        <v>46</v>
      </c>
      <c r="I5" s="89" t="s">
        <v>55</v>
      </c>
      <c r="J5" s="2">
        <v>1925</v>
      </c>
      <c r="K5" s="3">
        <f>900000+128-30357-42637-32809-54163-40336-70692-80277-67994-120766-41934-50426-57745-19504-23134-80436-41158-17460-8820-1925</f>
        <v>17555</v>
      </c>
      <c r="M5" s="31" t="s">
        <v>366</v>
      </c>
      <c r="N5" s="93" t="s">
        <v>358</v>
      </c>
      <c r="O5" s="19" t="s">
        <v>102</v>
      </c>
      <c r="P5" s="19" t="s">
        <v>246</v>
      </c>
      <c r="Q5" s="41">
        <v>19480</v>
      </c>
      <c r="R5" s="41">
        <v>4485</v>
      </c>
      <c r="S5" s="41">
        <f t="shared" si="1"/>
        <v>14995</v>
      </c>
      <c r="T5" s="19" t="str">
        <f t="shared" si="2"/>
        <v>X</v>
      </c>
    </row>
    <row r="6" spans="1:20" ht="27.75" customHeight="1">
      <c r="A6" s="17">
        <v>4</v>
      </c>
      <c r="B6" s="14" t="s">
        <v>40</v>
      </c>
      <c r="C6" s="13" t="s">
        <v>319</v>
      </c>
      <c r="D6" s="1" t="s">
        <v>24</v>
      </c>
      <c r="E6" s="7">
        <v>100000</v>
      </c>
      <c r="F6" s="6">
        <v>3</v>
      </c>
      <c r="G6" s="12">
        <f t="shared" si="0"/>
        <v>300000</v>
      </c>
      <c r="H6" s="1" t="s">
        <v>74</v>
      </c>
      <c r="I6" s="1" t="s">
        <v>88</v>
      </c>
      <c r="J6" s="2">
        <v>18086</v>
      </c>
      <c r="K6" s="3">
        <f>491+5116-5607+300000-(-2982)-22961-72363-28525-(-1184)-66700-60082-18086</f>
        <v>35449</v>
      </c>
      <c r="M6" s="31" t="s">
        <v>369</v>
      </c>
      <c r="N6" s="19" t="s">
        <v>194</v>
      </c>
      <c r="O6" s="19" t="s">
        <v>135</v>
      </c>
      <c r="P6" s="19" t="s">
        <v>247</v>
      </c>
      <c r="Q6" s="41">
        <v>53535</v>
      </c>
      <c r="R6" s="41">
        <v>17225</v>
      </c>
      <c r="S6" s="41">
        <f t="shared" si="1"/>
        <v>36310</v>
      </c>
      <c r="T6" s="19" t="str">
        <f t="shared" si="2"/>
        <v>X</v>
      </c>
    </row>
    <row r="7" spans="1:20" ht="27.75" customHeight="1">
      <c r="A7" s="17">
        <v>5</v>
      </c>
      <c r="B7" s="30" t="s">
        <v>21</v>
      </c>
      <c r="C7" s="25" t="s">
        <v>320</v>
      </c>
      <c r="D7" s="1" t="s">
        <v>24</v>
      </c>
      <c r="E7" s="7">
        <v>100000</v>
      </c>
      <c r="F7" s="6">
        <v>3</v>
      </c>
      <c r="G7" s="12">
        <f t="shared" si="0"/>
        <v>300000</v>
      </c>
      <c r="H7" s="86" t="s">
        <v>70</v>
      </c>
      <c r="I7" s="86" t="s">
        <v>69</v>
      </c>
      <c r="J7" s="2">
        <v>336</v>
      </c>
      <c r="K7" s="3">
        <f>300000-110880-13703+275-983-2667-76360-1515-284-(-402)-0-9293-0-336</f>
        <v>84656</v>
      </c>
      <c r="M7" s="31" t="s">
        <v>369</v>
      </c>
      <c r="O7" s="19" t="s">
        <v>124</v>
      </c>
      <c r="P7" s="19" t="s">
        <v>248</v>
      </c>
      <c r="Q7" s="41">
        <v>84992</v>
      </c>
      <c r="R7" s="41">
        <v>320</v>
      </c>
      <c r="S7" s="41">
        <f t="shared" si="1"/>
        <v>84672</v>
      </c>
      <c r="T7" s="19" t="str">
        <f t="shared" si="2"/>
        <v>X</v>
      </c>
    </row>
    <row r="8" spans="1:20" ht="27.75" customHeight="1">
      <c r="A8" s="17">
        <v>6</v>
      </c>
      <c r="B8" s="30" t="s">
        <v>21</v>
      </c>
      <c r="C8" s="25" t="s">
        <v>321</v>
      </c>
      <c r="D8" s="1" t="s">
        <v>24</v>
      </c>
      <c r="E8" s="7">
        <v>300000</v>
      </c>
      <c r="F8" s="6">
        <v>1</v>
      </c>
      <c r="G8" s="12">
        <f t="shared" si="0"/>
        <v>300000</v>
      </c>
      <c r="H8" s="86" t="s">
        <v>69</v>
      </c>
      <c r="I8" s="86"/>
      <c r="J8" s="2">
        <v>95</v>
      </c>
      <c r="K8" s="3">
        <f>12197+300000-6426-118879-0-(-13440)-7497-95</f>
        <v>192740</v>
      </c>
      <c r="M8" s="31" t="s">
        <v>367</v>
      </c>
      <c r="N8" s="19" t="s">
        <v>99</v>
      </c>
      <c r="O8" s="19" t="s">
        <v>103</v>
      </c>
      <c r="P8" s="19" t="s">
        <v>249</v>
      </c>
      <c r="Q8" s="41">
        <v>192835</v>
      </c>
      <c r="R8" s="41">
        <v>90</v>
      </c>
      <c r="S8" s="41">
        <f t="shared" si="1"/>
        <v>192745</v>
      </c>
      <c r="T8" s="19" t="str">
        <f t="shared" si="2"/>
        <v>X</v>
      </c>
    </row>
    <row r="9" spans="1:20" ht="27.75" customHeight="1">
      <c r="A9" s="17">
        <v>7</v>
      </c>
      <c r="B9" s="14" t="s">
        <v>40</v>
      </c>
      <c r="C9" s="13" t="s">
        <v>282</v>
      </c>
      <c r="D9" s="1" t="s">
        <v>24</v>
      </c>
      <c r="E9" s="7">
        <v>100000</v>
      </c>
      <c r="F9" s="6">
        <v>3</v>
      </c>
      <c r="G9" s="12">
        <f t="shared" si="0"/>
        <v>300000</v>
      </c>
      <c r="H9" s="1" t="s">
        <v>216</v>
      </c>
      <c r="I9" s="1" t="s">
        <v>258</v>
      </c>
      <c r="J9" s="2">
        <v>26755</v>
      </c>
      <c r="K9" s="3">
        <f>336528 -136528-38813-51854-26755</f>
        <v>82578</v>
      </c>
      <c r="L9" s="93" t="s">
        <v>345</v>
      </c>
      <c r="M9" s="31" t="s">
        <v>369</v>
      </c>
      <c r="N9" s="19" t="s">
        <v>211</v>
      </c>
      <c r="O9" s="19" t="s">
        <v>104</v>
      </c>
      <c r="P9" s="19" t="s">
        <v>248</v>
      </c>
      <c r="Q9" s="41">
        <v>109333</v>
      </c>
      <c r="R9" s="41">
        <v>25481</v>
      </c>
      <c r="S9" s="41">
        <f t="shared" si="1"/>
        <v>83852</v>
      </c>
      <c r="T9" s="19" t="str">
        <f t="shared" si="2"/>
        <v>X</v>
      </c>
    </row>
    <row r="10" spans="1:20" ht="27.75" customHeight="1">
      <c r="A10" s="17">
        <v>8</v>
      </c>
      <c r="B10" s="14" t="s">
        <v>17</v>
      </c>
      <c r="C10" s="13" t="s">
        <v>199</v>
      </c>
      <c r="D10" s="1" t="s">
        <v>24</v>
      </c>
      <c r="E10" s="7">
        <v>100000</v>
      </c>
      <c r="F10" s="6">
        <v>3</v>
      </c>
      <c r="G10" s="12">
        <f t="shared" si="0"/>
        <v>300000</v>
      </c>
      <c r="H10" s="1" t="s">
        <v>202</v>
      </c>
      <c r="I10" s="1" t="s">
        <v>255</v>
      </c>
      <c r="J10" s="2">
        <v>21950</v>
      </c>
      <c r="K10" s="3">
        <f>300000-98603-101048-43785-80651+80651-17634-72429+72429-119555-181321+53312+8634+300000-13241-21950</f>
        <v>64809</v>
      </c>
      <c r="L10" s="50" t="s">
        <v>291</v>
      </c>
      <c r="M10" s="31" t="s">
        <v>367</v>
      </c>
      <c r="N10" s="50" t="s">
        <v>290</v>
      </c>
      <c r="O10" s="19" t="s">
        <v>105</v>
      </c>
      <c r="P10" s="19" t="s">
        <v>249</v>
      </c>
      <c r="Q10" s="41">
        <v>86759</v>
      </c>
      <c r="R10" s="41">
        <v>23735</v>
      </c>
      <c r="S10" s="41">
        <f t="shared" si="1"/>
        <v>63024</v>
      </c>
      <c r="T10" s="19" t="str">
        <f t="shared" si="2"/>
        <v>X</v>
      </c>
    </row>
    <row r="11" spans="1:20" ht="27.75" customHeight="1">
      <c r="A11" s="17">
        <v>9</v>
      </c>
      <c r="B11" s="14" t="s">
        <v>17</v>
      </c>
      <c r="C11" s="13" t="s">
        <v>96</v>
      </c>
      <c r="D11" s="1" t="s">
        <v>25</v>
      </c>
      <c r="E11" s="7">
        <v>50000</v>
      </c>
      <c r="F11" s="6">
        <v>6</v>
      </c>
      <c r="G11" s="12">
        <f t="shared" si="0"/>
        <v>300000</v>
      </c>
      <c r="H11" s="87" t="s">
        <v>156</v>
      </c>
      <c r="I11" s="87" t="s">
        <v>88</v>
      </c>
      <c r="J11" s="2">
        <v>7623</v>
      </c>
      <c r="K11" s="3">
        <f>78073+300000-116550-2783-4631-24665-3654-20626-33978-56353-31566-7623</f>
        <v>75644</v>
      </c>
      <c r="M11" s="31" t="s">
        <v>374</v>
      </c>
      <c r="N11" s="19" t="s">
        <v>157</v>
      </c>
      <c r="O11" s="19" t="s">
        <v>154</v>
      </c>
      <c r="P11" s="19" t="s">
        <v>249</v>
      </c>
      <c r="Q11" s="41">
        <v>83267</v>
      </c>
      <c r="R11" s="41">
        <v>7260</v>
      </c>
      <c r="S11" s="41">
        <f t="shared" si="1"/>
        <v>76007</v>
      </c>
      <c r="T11" s="19" t="str">
        <f t="shared" si="2"/>
        <v>X</v>
      </c>
    </row>
    <row r="12" spans="1:20" ht="27.75" customHeight="1">
      <c r="A12" s="17">
        <v>10</v>
      </c>
      <c r="B12" s="14" t="s">
        <v>40</v>
      </c>
      <c r="C12" s="13" t="s">
        <v>92</v>
      </c>
      <c r="D12" s="1" t="s">
        <v>25</v>
      </c>
      <c r="E12" s="7">
        <v>50000</v>
      </c>
      <c r="F12" s="6">
        <v>6</v>
      </c>
      <c r="G12" s="12">
        <f t="shared" si="0"/>
        <v>300000</v>
      </c>
      <c r="H12" s="1" t="s">
        <v>74</v>
      </c>
      <c r="I12" s="1" t="s">
        <v>218</v>
      </c>
      <c r="J12" s="2">
        <v>10080</v>
      </c>
      <c r="K12" s="3">
        <f>62665+325825-138490-(-1302)-3503-48038-2835-13986-10080</f>
        <v>172860</v>
      </c>
      <c r="M12" s="31" t="s">
        <v>367</v>
      </c>
      <c r="N12" s="19" t="s">
        <v>209</v>
      </c>
      <c r="O12" s="19" t="s">
        <v>106</v>
      </c>
      <c r="P12" s="19" t="s">
        <v>249</v>
      </c>
      <c r="Q12" s="41">
        <v>182940</v>
      </c>
      <c r="R12" s="41">
        <v>9600</v>
      </c>
      <c r="S12" s="41">
        <f t="shared" si="1"/>
        <v>173340</v>
      </c>
      <c r="T12" s="19" t="str">
        <f t="shared" si="2"/>
        <v>X</v>
      </c>
    </row>
    <row r="13" spans="1:20" ht="27.75" customHeight="1">
      <c r="A13" s="17">
        <v>11</v>
      </c>
      <c r="B13" s="18" t="s">
        <v>44</v>
      </c>
      <c r="C13" s="8" t="s">
        <v>94</v>
      </c>
      <c r="D13" s="1" t="s">
        <v>25</v>
      </c>
      <c r="E13" s="7">
        <v>50000</v>
      </c>
      <c r="F13" s="6">
        <v>6</v>
      </c>
      <c r="G13" s="12">
        <f t="shared" si="0"/>
        <v>300000</v>
      </c>
      <c r="H13" s="1" t="s">
        <v>50</v>
      </c>
      <c r="I13" s="1" t="s">
        <v>67</v>
      </c>
      <c r="J13" s="2">
        <v>85743</v>
      </c>
      <c r="K13" s="3">
        <f>300000-50000-11172+7585-43130-20790-5481-2646-28888-54551-15083-0-18260-13687-85743+41846</f>
        <v>0</v>
      </c>
      <c r="L13" s="94" t="s">
        <v>26</v>
      </c>
      <c r="M13" s="31" t="s">
        <v>373</v>
      </c>
      <c r="O13" s="19" t="s">
        <v>153</v>
      </c>
      <c r="P13" s="19" t="s">
        <v>249</v>
      </c>
      <c r="Q13" s="41">
        <v>43897</v>
      </c>
      <c r="R13" s="41">
        <v>81660</v>
      </c>
      <c r="S13" s="41">
        <f t="shared" si="1"/>
        <v>-37763</v>
      </c>
      <c r="T13" s="19" t="str">
        <f t="shared" si="2"/>
        <v>X</v>
      </c>
    </row>
    <row r="14" spans="1:20" ht="27.75" customHeight="1">
      <c r="A14" s="17">
        <v>12</v>
      </c>
      <c r="B14" s="14" t="s">
        <v>40</v>
      </c>
      <c r="C14" s="13" t="s">
        <v>208</v>
      </c>
      <c r="D14" s="1" t="s">
        <v>15</v>
      </c>
      <c r="E14" s="7">
        <v>100000</v>
      </c>
      <c r="F14" s="6">
        <v>4</v>
      </c>
      <c r="G14" s="12">
        <f t="shared" si="0"/>
        <v>400000</v>
      </c>
      <c r="H14" s="1" t="s">
        <v>215</v>
      </c>
      <c r="I14" s="1" t="s">
        <v>216</v>
      </c>
      <c r="J14" s="2">
        <v>15939</v>
      </c>
      <c r="K14" s="3">
        <f>40795+400000-59317-2730-3-(-337)-66864-7508-12075-0-15939</f>
        <v>276696</v>
      </c>
      <c r="M14" s="31" t="s">
        <v>368</v>
      </c>
      <c r="N14" s="19" t="s">
        <v>213</v>
      </c>
      <c r="O14" s="19" t="s">
        <v>149</v>
      </c>
      <c r="P14" s="19" t="s">
        <v>246</v>
      </c>
      <c r="Q14" s="41">
        <v>292635</v>
      </c>
      <c r="R14" s="41">
        <v>15000</v>
      </c>
      <c r="S14" s="41">
        <f t="shared" si="1"/>
        <v>277635</v>
      </c>
      <c r="T14" s="19" t="str">
        <f t="shared" si="2"/>
        <v>X</v>
      </c>
    </row>
    <row r="15" spans="1:20" ht="27.75" customHeight="1">
      <c r="A15" s="17">
        <v>13</v>
      </c>
      <c r="B15" s="14" t="s">
        <v>40</v>
      </c>
      <c r="C15" s="13" t="s">
        <v>322</v>
      </c>
      <c r="D15" s="1" t="s">
        <v>24</v>
      </c>
      <c r="E15" s="7">
        <v>100000</v>
      </c>
      <c r="F15" s="6">
        <v>2</v>
      </c>
      <c r="G15" s="12">
        <f t="shared" si="0"/>
        <v>200000</v>
      </c>
      <c r="H15" s="1" t="s">
        <v>201</v>
      </c>
      <c r="I15" s="1" t="s">
        <v>217</v>
      </c>
      <c r="J15" s="2">
        <v>0</v>
      </c>
      <c r="K15" s="3">
        <f>-(-7344)+200000-9702-0-0-J15</f>
        <v>197642</v>
      </c>
      <c r="M15" s="49" t="s">
        <v>369</v>
      </c>
      <c r="N15" s="19" t="s">
        <v>214</v>
      </c>
      <c r="O15" s="19" t="s">
        <v>152</v>
      </c>
      <c r="P15" s="19" t="s">
        <v>246</v>
      </c>
      <c r="Q15" s="41">
        <v>197642</v>
      </c>
      <c r="R15" s="41">
        <v>0</v>
      </c>
      <c r="S15" s="41">
        <f t="shared" si="1"/>
        <v>197642</v>
      </c>
      <c r="T15" s="19" t="str">
        <f t="shared" si="2"/>
        <v>O</v>
      </c>
    </row>
    <row r="16" spans="1:20" ht="27.75" customHeight="1">
      <c r="A16" s="17">
        <v>14</v>
      </c>
      <c r="B16" s="14" t="s">
        <v>40</v>
      </c>
      <c r="C16" s="13" t="s">
        <v>180</v>
      </c>
      <c r="D16" s="1" t="s">
        <v>25</v>
      </c>
      <c r="E16" s="7">
        <v>50000</v>
      </c>
      <c r="F16" s="6">
        <v>6</v>
      </c>
      <c r="G16" s="12">
        <f t="shared" si="0"/>
        <v>300000</v>
      </c>
      <c r="H16" s="1" t="s">
        <v>74</v>
      </c>
      <c r="I16" s="1" t="s">
        <v>218</v>
      </c>
      <c r="J16" s="2">
        <v>52504</v>
      </c>
      <c r="K16" s="3">
        <f>300000-19677-24570-5114-5027-17277-0-52504</f>
        <v>175831</v>
      </c>
      <c r="M16" s="31" t="s">
        <v>369</v>
      </c>
      <c r="N16" s="19" t="s">
        <v>220</v>
      </c>
      <c r="O16" s="19" t="s">
        <v>137</v>
      </c>
      <c r="P16" s="19" t="s">
        <v>247</v>
      </c>
      <c r="Q16" s="41">
        <v>228335</v>
      </c>
      <c r="R16" s="41">
        <v>50004</v>
      </c>
      <c r="S16" s="41">
        <f t="shared" si="1"/>
        <v>178331</v>
      </c>
      <c r="T16" s="19" t="str">
        <f t="shared" si="2"/>
        <v>X</v>
      </c>
    </row>
    <row r="17" spans="1:20" ht="27.75" customHeight="1">
      <c r="A17" s="17">
        <v>15</v>
      </c>
      <c r="B17" s="14" t="s">
        <v>17</v>
      </c>
      <c r="C17" s="13" t="s">
        <v>259</v>
      </c>
      <c r="D17" s="1" t="s">
        <v>25</v>
      </c>
      <c r="E17" s="7">
        <v>50000</v>
      </c>
      <c r="F17" s="6">
        <v>6</v>
      </c>
      <c r="G17" s="12">
        <f t="shared" si="0"/>
        <v>300000</v>
      </c>
      <c r="H17" s="1" t="s">
        <v>88</v>
      </c>
      <c r="I17" s="1" t="s">
        <v>258</v>
      </c>
      <c r="J17" s="2">
        <v>84246</v>
      </c>
      <c r="K17" s="3">
        <f>5398+300000-41267-20021-34671-37918-72589-84246</f>
        <v>14686</v>
      </c>
      <c r="L17" s="19" t="s">
        <v>263</v>
      </c>
      <c r="M17" s="31" t="s">
        <v>368</v>
      </c>
      <c r="N17" s="20" t="s">
        <v>264</v>
      </c>
      <c r="O17" s="19" t="s">
        <v>151</v>
      </c>
      <c r="P17" s="19" t="s">
        <v>247</v>
      </c>
      <c r="Q17" s="41">
        <v>98932</v>
      </c>
      <c r="R17" s="41">
        <v>80234</v>
      </c>
      <c r="S17" s="41">
        <f t="shared" si="1"/>
        <v>18698</v>
      </c>
      <c r="T17" s="19" t="str">
        <f t="shared" si="2"/>
        <v>X</v>
      </c>
    </row>
    <row r="18" spans="1:20" ht="27.75" customHeight="1">
      <c r="A18" s="17">
        <v>16</v>
      </c>
      <c r="B18" s="18" t="s">
        <v>44</v>
      </c>
      <c r="C18" s="8" t="s">
        <v>181</v>
      </c>
      <c r="D18" s="1" t="s">
        <v>24</v>
      </c>
      <c r="E18" s="7">
        <v>100000</v>
      </c>
      <c r="F18" s="6">
        <v>3</v>
      </c>
      <c r="G18" s="12">
        <f t="shared" si="0"/>
        <v>300000</v>
      </c>
      <c r="H18" s="1" t="s">
        <v>202</v>
      </c>
      <c r="I18" s="1" t="s">
        <v>258</v>
      </c>
      <c r="J18" s="2">
        <f>39753-386</f>
        <v>39367</v>
      </c>
      <c r="K18" s="3">
        <f>26337-39367+300000</f>
        <v>286970</v>
      </c>
      <c r="L18" s="101" t="s">
        <v>375</v>
      </c>
      <c r="M18" s="31" t="s">
        <v>374</v>
      </c>
      <c r="N18" s="48" t="s">
        <v>288</v>
      </c>
      <c r="O18" s="19" t="s">
        <v>155</v>
      </c>
      <c r="P18" s="19" t="s">
        <v>248</v>
      </c>
      <c r="Q18" s="41">
        <v>26337</v>
      </c>
      <c r="R18" s="41">
        <v>37860</v>
      </c>
      <c r="S18" s="41">
        <f t="shared" si="1"/>
        <v>-11523</v>
      </c>
      <c r="T18" s="19" t="str">
        <f t="shared" si="2"/>
        <v>X</v>
      </c>
    </row>
    <row r="19" spans="1:20" ht="27.75" customHeight="1">
      <c r="A19" s="17">
        <v>17</v>
      </c>
      <c r="B19" s="14" t="s">
        <v>17</v>
      </c>
      <c r="C19" s="13" t="s">
        <v>173</v>
      </c>
      <c r="D19" s="1" t="s">
        <v>25</v>
      </c>
      <c r="E19" s="7">
        <v>50000</v>
      </c>
      <c r="F19" s="6">
        <v>6</v>
      </c>
      <c r="G19" s="12">
        <f t="shared" si="0"/>
        <v>300000</v>
      </c>
      <c r="H19" s="88" t="s">
        <v>255</v>
      </c>
      <c r="I19" s="85" t="s">
        <v>269</v>
      </c>
      <c r="J19" s="2">
        <v>27715</v>
      </c>
      <c r="K19" s="3">
        <f>64639+300000-141919-27715</f>
        <v>195005</v>
      </c>
      <c r="L19" s="95" t="s">
        <v>351</v>
      </c>
      <c r="M19" s="31" t="s">
        <v>368</v>
      </c>
      <c r="N19" s="83" t="s">
        <v>339</v>
      </c>
      <c r="O19" s="19" t="s">
        <v>107</v>
      </c>
      <c r="P19" s="19" t="s">
        <v>248</v>
      </c>
      <c r="Q19" s="41">
        <v>-77280</v>
      </c>
      <c r="R19" s="41">
        <v>26395</v>
      </c>
      <c r="S19" s="41">
        <f t="shared" si="1"/>
        <v>-103675</v>
      </c>
      <c r="T19" s="19" t="str">
        <f t="shared" si="2"/>
        <v>X</v>
      </c>
    </row>
    <row r="20" spans="1:20" ht="27.75" customHeight="1">
      <c r="A20" s="17">
        <v>18</v>
      </c>
      <c r="B20" s="14" t="s">
        <v>17</v>
      </c>
      <c r="C20" s="13" t="s">
        <v>182</v>
      </c>
      <c r="D20" s="1" t="s">
        <v>15</v>
      </c>
      <c r="E20" s="7">
        <v>100000</v>
      </c>
      <c r="F20" s="6">
        <v>3</v>
      </c>
      <c r="G20" s="12">
        <f t="shared" si="0"/>
        <v>300000</v>
      </c>
      <c r="H20" s="1" t="s">
        <v>218</v>
      </c>
      <c r="I20" s="1" t="s">
        <v>258</v>
      </c>
      <c r="J20" s="22">
        <v>26206</v>
      </c>
      <c r="K20" s="3">
        <f>300000-74979-156120-J20</f>
        <v>42695</v>
      </c>
      <c r="L20" s="93" t="s">
        <v>346</v>
      </c>
      <c r="M20" s="31" t="s">
        <v>372</v>
      </c>
      <c r="N20" s="20" t="s">
        <v>196</v>
      </c>
      <c r="O20" s="19" t="s">
        <v>126</v>
      </c>
      <c r="P20" s="34" t="s">
        <v>248</v>
      </c>
      <c r="Q20" s="41">
        <v>68901</v>
      </c>
      <c r="R20" s="41">
        <v>24959</v>
      </c>
      <c r="S20" s="41">
        <f t="shared" si="1"/>
        <v>43942</v>
      </c>
      <c r="T20" s="19" t="str">
        <f t="shared" si="2"/>
        <v>X</v>
      </c>
    </row>
    <row r="21" spans="1:20" ht="27.75" customHeight="1">
      <c r="A21" s="17">
        <v>19</v>
      </c>
      <c r="B21" s="14" t="s">
        <v>17</v>
      </c>
      <c r="C21" s="13" t="s">
        <v>306</v>
      </c>
      <c r="D21" s="1" t="s">
        <v>24</v>
      </c>
      <c r="E21" s="7">
        <v>100000</v>
      </c>
      <c r="F21" s="6">
        <v>1</v>
      </c>
      <c r="G21" s="12">
        <f t="shared" si="0"/>
        <v>100000</v>
      </c>
      <c r="H21" s="1" t="s">
        <v>307</v>
      </c>
      <c r="I21" s="1"/>
      <c r="J21" s="22">
        <v>7812</v>
      </c>
      <c r="K21" s="3">
        <f>100000-18560-7812</f>
        <v>73628</v>
      </c>
      <c r="L21" s="93" t="s">
        <v>347</v>
      </c>
      <c r="M21" s="31" t="s">
        <v>367</v>
      </c>
      <c r="N21" s="64" t="s">
        <v>308</v>
      </c>
      <c r="O21" s="66" t="s">
        <v>313</v>
      </c>
      <c r="P21" s="68" t="s">
        <v>314</v>
      </c>
      <c r="Q21" s="41">
        <v>81440</v>
      </c>
      <c r="R21" s="41">
        <v>7440</v>
      </c>
      <c r="S21" s="41">
        <f t="shared" si="1"/>
        <v>74000</v>
      </c>
      <c r="T21" s="19" t="str">
        <f t="shared" si="2"/>
        <v>X</v>
      </c>
    </row>
    <row r="22" spans="1:20" ht="27.75" customHeight="1">
      <c r="A22" s="17">
        <v>20</v>
      </c>
      <c r="B22" s="14" t="s">
        <v>17</v>
      </c>
      <c r="C22" s="13" t="s">
        <v>231</v>
      </c>
      <c r="D22" s="1" t="s">
        <v>24</v>
      </c>
      <c r="E22" s="7">
        <v>100000</v>
      </c>
      <c r="F22" s="6">
        <v>3</v>
      </c>
      <c r="G22" s="12">
        <f t="shared" si="0"/>
        <v>300000</v>
      </c>
      <c r="H22" s="1" t="s">
        <v>88</v>
      </c>
      <c r="I22" s="1" t="s">
        <v>202</v>
      </c>
      <c r="J22" s="2">
        <v>4599</v>
      </c>
      <c r="K22" s="3">
        <f>65156+300933-166089-32744-22447-(-1608)-2305-4599</f>
        <v>139513</v>
      </c>
      <c r="L22" s="19" t="s">
        <v>261</v>
      </c>
      <c r="M22" s="31" t="s">
        <v>368</v>
      </c>
      <c r="N22" s="20" t="s">
        <v>262</v>
      </c>
      <c r="O22" s="19" t="s">
        <v>166</v>
      </c>
      <c r="P22" s="19" t="s">
        <v>248</v>
      </c>
      <c r="Q22" s="41">
        <v>144112</v>
      </c>
      <c r="R22" s="41">
        <v>4380</v>
      </c>
      <c r="S22" s="41">
        <f t="shared" si="1"/>
        <v>139732</v>
      </c>
      <c r="T22" s="19" t="str">
        <f t="shared" si="2"/>
        <v>X</v>
      </c>
    </row>
    <row r="23" spans="1:20" ht="27.75" customHeight="1">
      <c r="A23" s="17">
        <v>21</v>
      </c>
      <c r="B23" s="14" t="s">
        <v>17</v>
      </c>
      <c r="C23" s="13" t="s">
        <v>232</v>
      </c>
      <c r="D23" s="1" t="s">
        <v>15</v>
      </c>
      <c r="E23" s="7">
        <v>200000</v>
      </c>
      <c r="F23" s="6">
        <v>6</v>
      </c>
      <c r="G23" s="12">
        <f>E23*F23</f>
        <v>1200000</v>
      </c>
      <c r="H23" s="1" t="s">
        <v>202</v>
      </c>
      <c r="I23" s="1" t="s">
        <v>292</v>
      </c>
      <c r="J23" s="2">
        <v>68149</v>
      </c>
      <c r="K23" s="3">
        <f>56244+1200000-112686-142580-133157-221157-92706-91535-174596-106935-76098-26028+45300+1200000-190179-86222-206439-101685-289427-102309-183466-50084-85486-219109-241221+1200000-133770-68149</f>
        <v>566520</v>
      </c>
      <c r="L23" s="50" t="s">
        <v>291</v>
      </c>
      <c r="M23" s="31" t="s">
        <v>366</v>
      </c>
      <c r="N23" s="51" t="s">
        <v>293</v>
      </c>
      <c r="O23" s="19" t="s">
        <v>119</v>
      </c>
      <c r="P23" s="19" t="s">
        <v>246</v>
      </c>
      <c r="Q23" s="41">
        <v>634669</v>
      </c>
      <c r="R23" s="41">
        <v>64904</v>
      </c>
      <c r="S23" s="41">
        <f t="shared" si="1"/>
        <v>569765</v>
      </c>
      <c r="T23" s="19" t="str">
        <f t="shared" si="2"/>
        <v>X</v>
      </c>
    </row>
    <row r="24" spans="1:20" ht="27.75" customHeight="1">
      <c r="A24" s="17">
        <v>22</v>
      </c>
      <c r="B24" s="14" t="s">
        <v>40</v>
      </c>
      <c r="C24" s="13" t="s">
        <v>97</v>
      </c>
      <c r="D24" s="1" t="s">
        <v>24</v>
      </c>
      <c r="E24" s="7">
        <v>100000</v>
      </c>
      <c r="F24" s="6">
        <v>3</v>
      </c>
      <c r="G24" s="12">
        <f t="shared" si="0"/>
        <v>300000</v>
      </c>
      <c r="H24" s="1" t="s">
        <v>224</v>
      </c>
      <c r="I24" s="1" t="s">
        <v>138</v>
      </c>
      <c r="J24" s="2">
        <v>2090</v>
      </c>
      <c r="K24" s="3">
        <f>300000-154207-109670-89783+53660+300000-(-1254)-40223-82946-(-7053)-50973-(-2420)-2090</f>
        <v>134495</v>
      </c>
      <c r="M24" s="31" t="s">
        <v>367</v>
      </c>
      <c r="N24" s="20" t="s">
        <v>222</v>
      </c>
      <c r="O24" s="19" t="s">
        <v>150</v>
      </c>
      <c r="P24" s="19" t="s">
        <v>246</v>
      </c>
      <c r="Q24" s="41">
        <v>136585</v>
      </c>
      <c r="R24" s="41">
        <v>1612</v>
      </c>
      <c r="S24" s="41">
        <f t="shared" si="1"/>
        <v>134973</v>
      </c>
      <c r="T24" s="19" t="str">
        <f t="shared" si="2"/>
        <v>X</v>
      </c>
    </row>
    <row r="25" spans="1:20" ht="27.75" customHeight="1">
      <c r="A25" s="17">
        <v>23</v>
      </c>
      <c r="B25" s="14" t="s">
        <v>17</v>
      </c>
      <c r="C25" s="13" t="s">
        <v>233</v>
      </c>
      <c r="D25" s="1" t="s">
        <v>24</v>
      </c>
      <c r="E25" s="7">
        <v>100000</v>
      </c>
      <c r="F25" s="6">
        <v>3</v>
      </c>
      <c r="G25" s="12">
        <f t="shared" si="0"/>
        <v>300000</v>
      </c>
      <c r="H25" s="87" t="s">
        <v>255</v>
      </c>
      <c r="I25" s="1" t="s">
        <v>279</v>
      </c>
      <c r="J25" s="2">
        <v>49449</v>
      </c>
      <c r="K25" s="3">
        <f>300000-91585-49449</f>
        <v>158966</v>
      </c>
      <c r="L25" s="93" t="s">
        <v>348</v>
      </c>
      <c r="M25" s="31" t="s">
        <v>368</v>
      </c>
      <c r="N25" s="81" t="s">
        <v>335</v>
      </c>
      <c r="O25" s="19" t="s">
        <v>108</v>
      </c>
      <c r="P25" s="19" t="s">
        <v>248</v>
      </c>
      <c r="Q25" s="41">
        <v>208415</v>
      </c>
      <c r="R25" s="41">
        <v>47094</v>
      </c>
      <c r="S25" s="41">
        <f t="shared" si="1"/>
        <v>161321</v>
      </c>
      <c r="T25" s="19" t="str">
        <f t="shared" si="2"/>
        <v>X</v>
      </c>
    </row>
    <row r="26" spans="1:20" ht="27.75" customHeight="1">
      <c r="A26" s="17">
        <v>24</v>
      </c>
      <c r="B26" s="14" t="s">
        <v>40</v>
      </c>
      <c r="C26" s="13" t="s">
        <v>183</v>
      </c>
      <c r="D26" s="1" t="s">
        <v>16</v>
      </c>
      <c r="E26" s="7">
        <v>50000</v>
      </c>
      <c r="F26" s="6">
        <v>6</v>
      </c>
      <c r="G26" s="12">
        <f t="shared" si="0"/>
        <v>300000</v>
      </c>
      <c r="H26" s="1" t="s">
        <v>224</v>
      </c>
      <c r="I26" s="1" t="s">
        <v>225</v>
      </c>
      <c r="J26" s="2">
        <v>-3024</v>
      </c>
      <c r="K26" s="3">
        <f>-6222+6222+300000-17616-11443-4599-4735-23895-15681-(-3024)</f>
        <v>225055</v>
      </c>
      <c r="M26" s="31" t="s">
        <v>368</v>
      </c>
      <c r="N26" s="20" t="s">
        <v>223</v>
      </c>
      <c r="O26" s="19" t="s">
        <v>113</v>
      </c>
      <c r="P26" s="19" t="s">
        <v>248</v>
      </c>
      <c r="Q26" s="41">
        <v>222031</v>
      </c>
      <c r="R26" s="41">
        <v>-2880</v>
      </c>
      <c r="S26" s="41">
        <f t="shared" si="1"/>
        <v>224911</v>
      </c>
      <c r="T26" s="19" t="str">
        <f t="shared" si="2"/>
        <v>X</v>
      </c>
    </row>
    <row r="27" spans="1:20" ht="27.75" customHeight="1">
      <c r="A27" s="17">
        <v>25</v>
      </c>
      <c r="B27" s="30" t="s">
        <v>21</v>
      </c>
      <c r="C27" s="25" t="s">
        <v>234</v>
      </c>
      <c r="D27" s="1" t="s">
        <v>16</v>
      </c>
      <c r="E27" s="7">
        <v>50000</v>
      </c>
      <c r="F27" s="6">
        <v>6</v>
      </c>
      <c r="G27" s="12">
        <f t="shared" si="0"/>
        <v>300000</v>
      </c>
      <c r="H27" s="86" t="s">
        <v>70</v>
      </c>
      <c r="I27" s="86" t="s">
        <v>74</v>
      </c>
      <c r="J27" s="2">
        <v>1982</v>
      </c>
      <c r="K27" s="3">
        <f>5056+300000-50394-3494-5926+395-41815+542-5514-1050-18419-46691-6440-30655-8017-17203+1179+752-36814-19404-7261-11151+300000-2526-5941-23890+5433-62110-125276-(-1491)-10319-9330-31406-(-821)-714-1982</f>
        <v>31927</v>
      </c>
      <c r="M27" s="31" t="s">
        <v>369</v>
      </c>
      <c r="O27" s="19" t="s">
        <v>134</v>
      </c>
      <c r="P27" s="19" t="s">
        <v>247</v>
      </c>
      <c r="Q27" s="41">
        <v>33909</v>
      </c>
      <c r="R27" s="41">
        <v>2466</v>
      </c>
      <c r="S27" s="41">
        <f t="shared" si="1"/>
        <v>31443</v>
      </c>
      <c r="T27" s="19" t="str">
        <f t="shared" si="2"/>
        <v>X</v>
      </c>
    </row>
    <row r="28" spans="1:20" ht="27.75" customHeight="1">
      <c r="A28" s="17">
        <v>26</v>
      </c>
      <c r="B28" s="14" t="s">
        <v>17</v>
      </c>
      <c r="C28" s="13" t="s">
        <v>184</v>
      </c>
      <c r="D28" s="1" t="s">
        <v>15</v>
      </c>
      <c r="E28" s="7">
        <v>100000</v>
      </c>
      <c r="F28" s="6">
        <v>6</v>
      </c>
      <c r="G28" s="12">
        <f t="shared" si="0"/>
        <v>600000</v>
      </c>
      <c r="H28" s="1" t="s">
        <v>255</v>
      </c>
      <c r="I28" s="1" t="s">
        <v>279</v>
      </c>
      <c r="J28" s="2">
        <v>9198</v>
      </c>
      <c r="K28" s="3">
        <f>300000-258857-9198</f>
        <v>31945</v>
      </c>
      <c r="L28" s="93" t="s">
        <v>302</v>
      </c>
      <c r="M28" s="31" t="s">
        <v>368</v>
      </c>
      <c r="N28" s="61" t="s">
        <v>303</v>
      </c>
      <c r="O28" s="19" t="s">
        <v>118</v>
      </c>
      <c r="P28" s="19" t="s">
        <v>248</v>
      </c>
      <c r="Q28" s="41">
        <v>41143</v>
      </c>
      <c r="R28" s="41">
        <v>8760</v>
      </c>
      <c r="S28" s="41">
        <f t="shared" si="1"/>
        <v>32383</v>
      </c>
      <c r="T28" s="19" t="str">
        <f t="shared" si="2"/>
        <v>X</v>
      </c>
    </row>
    <row r="29" spans="1:20" ht="27.75" customHeight="1">
      <c r="A29" s="17">
        <v>27</v>
      </c>
      <c r="B29" s="18" t="s">
        <v>44</v>
      </c>
      <c r="C29" s="8" t="s">
        <v>95</v>
      </c>
      <c r="D29" s="1" t="s">
        <v>16</v>
      </c>
      <c r="E29" s="7">
        <v>50000</v>
      </c>
      <c r="F29" s="6">
        <v>5</v>
      </c>
      <c r="G29" s="12">
        <f t="shared" si="0"/>
        <v>250000</v>
      </c>
      <c r="H29" s="1" t="s">
        <v>12</v>
      </c>
      <c r="I29" s="1" t="s">
        <v>6</v>
      </c>
      <c r="J29" s="2">
        <v>0</v>
      </c>
      <c r="K29" s="3">
        <f>1680-238-840-0-2993+2391-J29</f>
        <v>0</v>
      </c>
      <c r="L29" s="94" t="s">
        <v>26</v>
      </c>
      <c r="M29" s="49" t="s">
        <v>369</v>
      </c>
      <c r="O29" s="19" t="s">
        <v>144</v>
      </c>
      <c r="P29" s="19" t="s">
        <v>248</v>
      </c>
      <c r="Q29" s="41">
        <v>0</v>
      </c>
      <c r="R29" s="41">
        <v>0</v>
      </c>
      <c r="S29" s="41">
        <f t="shared" si="1"/>
        <v>0</v>
      </c>
      <c r="T29" s="19" t="str">
        <f t="shared" si="2"/>
        <v>O</v>
      </c>
    </row>
    <row r="30" spans="1:20" ht="27.75" customHeight="1">
      <c r="A30" s="17">
        <v>28</v>
      </c>
      <c r="B30" s="16" t="s">
        <v>45</v>
      </c>
      <c r="C30" s="9" t="s">
        <v>235</v>
      </c>
      <c r="D30" s="1" t="s">
        <v>24</v>
      </c>
      <c r="E30" s="7">
        <v>100000</v>
      </c>
      <c r="F30" s="6">
        <v>3</v>
      </c>
      <c r="G30" s="12">
        <f t="shared" si="0"/>
        <v>300000</v>
      </c>
      <c r="H30" s="89" t="s">
        <v>36</v>
      </c>
      <c r="I30" s="89" t="s">
        <v>37</v>
      </c>
      <c r="J30" s="2">
        <v>-4200</v>
      </c>
      <c r="K30" s="3">
        <f>300000-27106-7984+744-10032-5400-19720-15831+7454-480-9070-1350-34914-15040-2224-12250-25032-24935-1076-9907-12600-16065-479-9210-28726+300000-66654-10173-10735+851-19920+41-8484-11510-147-20475-788+394-7088-1663-3528-11059-(-4200)</f>
        <v>152029</v>
      </c>
      <c r="M30" s="31" t="s">
        <v>368</v>
      </c>
      <c r="N30" s="93" t="s">
        <v>359</v>
      </c>
      <c r="O30" s="19" t="s">
        <v>174</v>
      </c>
      <c r="P30" s="19" t="s">
        <v>248</v>
      </c>
      <c r="Q30" s="41">
        <v>147829</v>
      </c>
      <c r="R30" s="41">
        <v>-4000</v>
      </c>
      <c r="S30" s="41">
        <f t="shared" si="1"/>
        <v>151829</v>
      </c>
      <c r="T30" s="19" t="str">
        <f t="shared" si="2"/>
        <v>X</v>
      </c>
    </row>
    <row r="31" spans="1:20" ht="27.75" customHeight="1">
      <c r="A31" s="17">
        <v>29</v>
      </c>
      <c r="B31" s="14" t="s">
        <v>40</v>
      </c>
      <c r="C31" s="13" t="s">
        <v>236</v>
      </c>
      <c r="D31" s="1" t="s">
        <v>25</v>
      </c>
      <c r="E31" s="7">
        <v>50000</v>
      </c>
      <c r="F31" s="6">
        <v>6</v>
      </c>
      <c r="G31" s="12">
        <f t="shared" si="0"/>
        <v>300000</v>
      </c>
      <c r="H31" s="87" t="s">
        <v>224</v>
      </c>
      <c r="I31" s="1" t="s">
        <v>255</v>
      </c>
      <c r="J31" s="2">
        <v>-1287</v>
      </c>
      <c r="K31" s="3">
        <f>300000-66540-83542+82-69228+69228-(-5909)-11324-2168-(-1287)</f>
        <v>143704</v>
      </c>
      <c r="L31" s="93" t="s">
        <v>352</v>
      </c>
      <c r="M31" s="31" t="s">
        <v>368</v>
      </c>
      <c r="N31" s="46" t="s">
        <v>281</v>
      </c>
      <c r="O31" s="19" t="s">
        <v>109</v>
      </c>
      <c r="P31" s="19" t="s">
        <v>248</v>
      </c>
      <c r="Q31" s="41">
        <v>2168</v>
      </c>
      <c r="R31" s="41">
        <v>-1226</v>
      </c>
      <c r="S31" s="41">
        <f t="shared" si="1"/>
        <v>3394</v>
      </c>
      <c r="T31" s="19" t="str">
        <f t="shared" si="2"/>
        <v>X</v>
      </c>
    </row>
    <row r="32" spans="1:20" ht="27.75" customHeight="1">
      <c r="A32" s="17">
        <v>30</v>
      </c>
      <c r="B32" s="14" t="s">
        <v>40</v>
      </c>
      <c r="C32" s="13" t="s">
        <v>185</v>
      </c>
      <c r="D32" s="1" t="s">
        <v>25</v>
      </c>
      <c r="E32" s="7">
        <v>50000</v>
      </c>
      <c r="F32" s="6">
        <v>6</v>
      </c>
      <c r="G32" s="12">
        <f t="shared" si="0"/>
        <v>300000</v>
      </c>
      <c r="H32" s="1" t="s">
        <v>224</v>
      </c>
      <c r="I32" s="1" t="s">
        <v>258</v>
      </c>
      <c r="J32" s="2">
        <v>0</v>
      </c>
      <c r="K32" s="3">
        <f>300000-18270-(-1691)-43065-(-6831)-2205-J32</f>
        <v>244982</v>
      </c>
      <c r="L32" s="93" t="s">
        <v>353</v>
      </c>
      <c r="M32" s="49" t="s">
        <v>369</v>
      </c>
      <c r="N32" s="19" t="s">
        <v>257</v>
      </c>
      <c r="O32" s="19" t="s">
        <v>165</v>
      </c>
      <c r="P32" s="19" t="s">
        <v>248</v>
      </c>
      <c r="Q32" s="41">
        <v>244982</v>
      </c>
      <c r="R32" s="41">
        <v>0</v>
      </c>
      <c r="S32" s="41">
        <f t="shared" si="1"/>
        <v>244982</v>
      </c>
      <c r="T32" s="19" t="str">
        <f t="shared" si="2"/>
        <v>O</v>
      </c>
    </row>
    <row r="33" spans="1:20" ht="27.75" customHeight="1">
      <c r="A33" s="17">
        <v>31</v>
      </c>
      <c r="B33" s="14" t="s">
        <v>40</v>
      </c>
      <c r="C33" s="13" t="s">
        <v>237</v>
      </c>
      <c r="D33" s="1" t="s">
        <v>25</v>
      </c>
      <c r="E33" s="7">
        <v>50000</v>
      </c>
      <c r="F33" s="6">
        <v>6</v>
      </c>
      <c r="G33" s="12">
        <f t="shared" si="0"/>
        <v>300000</v>
      </c>
      <c r="H33" s="1" t="s">
        <v>78</v>
      </c>
      <c r="I33" s="1" t="s">
        <v>79</v>
      </c>
      <c r="J33" s="2">
        <v>706</v>
      </c>
      <c r="K33" s="3">
        <f>300000-1575-11493-24695-24228-2628-2836-(-474)-84-30496-J33</f>
        <v>201733</v>
      </c>
      <c r="M33" s="31" t="s">
        <v>367</v>
      </c>
      <c r="O33" s="19" t="s">
        <v>114</v>
      </c>
      <c r="P33" s="19" t="s">
        <v>249</v>
      </c>
      <c r="Q33" s="41">
        <v>202439</v>
      </c>
      <c r="R33" s="41">
        <v>672</v>
      </c>
      <c r="S33" s="41">
        <f t="shared" si="1"/>
        <v>201767</v>
      </c>
      <c r="T33" s="19" t="str">
        <f t="shared" si="2"/>
        <v>X</v>
      </c>
    </row>
    <row r="34" spans="1:20" ht="27.75" customHeight="1">
      <c r="A34" s="17">
        <v>32</v>
      </c>
      <c r="B34" s="18" t="s">
        <v>44</v>
      </c>
      <c r="C34" s="8" t="s">
        <v>238</v>
      </c>
      <c r="D34" s="1" t="s">
        <v>24</v>
      </c>
      <c r="E34" s="7">
        <v>300000</v>
      </c>
      <c r="F34" s="6">
        <v>1</v>
      </c>
      <c r="G34" s="12">
        <f t="shared" si="0"/>
        <v>300000</v>
      </c>
      <c r="H34" s="1" t="s">
        <v>90</v>
      </c>
      <c r="I34" s="1"/>
      <c r="J34" s="2">
        <v>49812</v>
      </c>
      <c r="K34" s="3">
        <f>300000-14112-19950-14213-(-2205)-110143-101388-(-68397)-66035-49812+5828</f>
        <v>777</v>
      </c>
      <c r="L34" s="94" t="s">
        <v>26</v>
      </c>
      <c r="M34" s="31" t="s">
        <v>374</v>
      </c>
      <c r="N34" s="20" t="s">
        <v>198</v>
      </c>
      <c r="O34" s="19" t="s">
        <v>110</v>
      </c>
      <c r="P34" s="19" t="s">
        <v>248</v>
      </c>
      <c r="Q34" s="41">
        <v>44761</v>
      </c>
      <c r="R34" s="41">
        <v>48180</v>
      </c>
      <c r="S34" s="41">
        <f t="shared" si="1"/>
        <v>-3419</v>
      </c>
      <c r="T34" s="19" t="str">
        <f t="shared" si="2"/>
        <v>X</v>
      </c>
    </row>
    <row r="35" spans="1:20" ht="27.75" customHeight="1">
      <c r="A35" s="17">
        <v>33</v>
      </c>
      <c r="B35" s="30" t="s">
        <v>21</v>
      </c>
      <c r="C35" s="25" t="s">
        <v>80</v>
      </c>
      <c r="D35" s="1" t="s">
        <v>25</v>
      </c>
      <c r="E35" s="7">
        <v>100000</v>
      </c>
      <c r="F35" s="6">
        <v>1</v>
      </c>
      <c r="G35" s="12">
        <f t="shared" si="0"/>
        <v>100000</v>
      </c>
      <c r="H35" s="86" t="s">
        <v>67</v>
      </c>
      <c r="I35" s="86" t="s">
        <v>71</v>
      </c>
      <c r="J35" s="2">
        <v>0</v>
      </c>
      <c r="K35" s="3">
        <f>300000-7054+7054-1793+620-9782-10197-580-3455-540-292-20540-15330-J35</f>
        <v>238111</v>
      </c>
      <c r="M35" s="49" t="s">
        <v>369</v>
      </c>
      <c r="N35" s="20" t="s">
        <v>83</v>
      </c>
      <c r="O35" s="19" t="s">
        <v>167</v>
      </c>
      <c r="P35" s="19" t="s">
        <v>248</v>
      </c>
      <c r="Q35" s="41">
        <v>238111</v>
      </c>
      <c r="R35" s="41">
        <v>0</v>
      </c>
      <c r="S35" s="41">
        <f t="shared" si="1"/>
        <v>238111</v>
      </c>
      <c r="T35" s="19" t="str">
        <f t="shared" si="2"/>
        <v>O</v>
      </c>
    </row>
    <row r="36" spans="1:20" ht="27.75" customHeight="1">
      <c r="A36" s="17">
        <v>34</v>
      </c>
      <c r="B36" s="18" t="s">
        <v>44</v>
      </c>
      <c r="C36" s="8" t="s">
        <v>239</v>
      </c>
      <c r="D36" s="1" t="s">
        <v>24</v>
      </c>
      <c r="E36" s="7">
        <v>100000</v>
      </c>
      <c r="F36" s="6">
        <v>3</v>
      </c>
      <c r="G36" s="12">
        <f t="shared" si="0"/>
        <v>300000</v>
      </c>
      <c r="H36" s="87" t="s">
        <v>68</v>
      </c>
      <c r="I36" s="1" t="s">
        <v>64</v>
      </c>
      <c r="J36" s="2">
        <v>85279</v>
      </c>
      <c r="K36" s="3">
        <f>300000-85279</f>
        <v>214721</v>
      </c>
      <c r="L36" s="101" t="s">
        <v>375</v>
      </c>
      <c r="M36" s="31" t="s">
        <v>374</v>
      </c>
      <c r="N36" s="102" t="s">
        <v>376</v>
      </c>
      <c r="O36" s="19" t="s">
        <v>123</v>
      </c>
      <c r="P36" s="19" t="s">
        <v>248</v>
      </c>
      <c r="Q36" s="41">
        <v>-56940</v>
      </c>
      <c r="R36" s="41">
        <v>84780</v>
      </c>
      <c r="S36" s="41">
        <f t="shared" si="1"/>
        <v>-141720</v>
      </c>
      <c r="T36" s="19" t="str">
        <f t="shared" si="2"/>
        <v>X</v>
      </c>
    </row>
    <row r="37" spans="1:20" ht="27.75" customHeight="1">
      <c r="A37" s="17">
        <v>35</v>
      </c>
      <c r="B37" s="16" t="s">
        <v>45</v>
      </c>
      <c r="C37" s="9" t="s">
        <v>193</v>
      </c>
      <c r="D37" s="1" t="s">
        <v>25</v>
      </c>
      <c r="E37" s="7">
        <v>50000</v>
      </c>
      <c r="F37" s="6">
        <v>6</v>
      </c>
      <c r="G37" s="12">
        <f t="shared" si="0"/>
        <v>300000</v>
      </c>
      <c r="H37" s="90" t="s">
        <v>221</v>
      </c>
      <c r="I37" s="89" t="s">
        <v>39</v>
      </c>
      <c r="J37" s="2">
        <v>0</v>
      </c>
      <c r="K37" s="3">
        <f>50000+4200+50000+100000+50000+50000-2268-9293-2258-189-1990-40786-9614-50123-(-529)-88767-88079-630-J37</f>
        <v>10732</v>
      </c>
      <c r="M37" s="49" t="s">
        <v>369</v>
      </c>
      <c r="N37" s="93" t="s">
        <v>360</v>
      </c>
      <c r="O37" s="19" t="s">
        <v>186</v>
      </c>
      <c r="P37" s="19" t="s">
        <v>247</v>
      </c>
      <c r="Q37" s="41">
        <v>10732</v>
      </c>
      <c r="R37" s="41">
        <v>0</v>
      </c>
      <c r="S37" s="41">
        <f t="shared" si="1"/>
        <v>10732</v>
      </c>
      <c r="T37" s="19" t="str">
        <f t="shared" si="2"/>
        <v>O</v>
      </c>
    </row>
    <row r="38" spans="1:20" ht="27.75" customHeight="1">
      <c r="A38" s="17">
        <v>36</v>
      </c>
      <c r="B38" s="30" t="s">
        <v>21</v>
      </c>
      <c r="C38" s="25" t="s">
        <v>240</v>
      </c>
      <c r="D38" s="1" t="s">
        <v>25</v>
      </c>
      <c r="E38" s="7">
        <v>50000</v>
      </c>
      <c r="F38" s="6">
        <v>6</v>
      </c>
      <c r="G38" s="12">
        <f t="shared" si="0"/>
        <v>300000</v>
      </c>
      <c r="H38" s="92" t="s">
        <v>66</v>
      </c>
      <c r="I38" s="86" t="s">
        <v>77</v>
      </c>
      <c r="J38" s="2">
        <v>0</v>
      </c>
      <c r="K38" s="3">
        <f>300000-42601-26251-5663+1760-3512-5670-0-J38</f>
        <v>218063</v>
      </c>
      <c r="M38" s="49" t="s">
        <v>369</v>
      </c>
      <c r="O38" s="19" t="s">
        <v>111</v>
      </c>
      <c r="P38" s="19" t="s">
        <v>248</v>
      </c>
      <c r="Q38" s="41">
        <v>218063</v>
      </c>
      <c r="R38" s="41">
        <v>0</v>
      </c>
      <c r="S38" s="41">
        <f t="shared" si="1"/>
        <v>218063</v>
      </c>
      <c r="T38" s="19" t="str">
        <f t="shared" si="2"/>
        <v>O</v>
      </c>
    </row>
    <row r="39" spans="1:20" ht="27.75" customHeight="1">
      <c r="A39" s="17">
        <v>37</v>
      </c>
      <c r="B39" s="14" t="s">
        <v>17</v>
      </c>
      <c r="C39" s="13" t="s">
        <v>43</v>
      </c>
      <c r="D39" s="1" t="s">
        <v>24</v>
      </c>
      <c r="E39" s="7">
        <v>100000</v>
      </c>
      <c r="F39" s="6">
        <v>3</v>
      </c>
      <c r="G39" s="12">
        <f t="shared" si="0"/>
        <v>300000</v>
      </c>
      <c r="H39" s="88" t="s">
        <v>255</v>
      </c>
      <c r="I39" s="85" t="s">
        <v>279</v>
      </c>
      <c r="J39" s="2">
        <v>2940</v>
      </c>
      <c r="K39" s="3">
        <f>24327-35349+311022-2940</f>
        <v>297060</v>
      </c>
      <c r="L39" s="95" t="s">
        <v>354</v>
      </c>
      <c r="M39" s="31" t="s">
        <v>368</v>
      </c>
      <c r="N39" s="19" t="s">
        <v>212</v>
      </c>
      <c r="O39" s="19" t="s">
        <v>112</v>
      </c>
      <c r="P39" s="19" t="s">
        <v>248</v>
      </c>
      <c r="Q39" s="41">
        <v>300000</v>
      </c>
      <c r="R39" s="41">
        <v>2800</v>
      </c>
      <c r="S39" s="41">
        <f t="shared" si="1"/>
        <v>297200</v>
      </c>
      <c r="T39" s="19" t="str">
        <f t="shared" si="2"/>
        <v>X</v>
      </c>
    </row>
    <row r="40" spans="1:20" ht="27.75" customHeight="1">
      <c r="A40" s="17">
        <v>38</v>
      </c>
      <c r="B40" s="16" t="s">
        <v>45</v>
      </c>
      <c r="C40" s="9" t="s">
        <v>59</v>
      </c>
      <c r="D40" s="1" t="s">
        <v>60</v>
      </c>
      <c r="E40" s="7">
        <v>30000</v>
      </c>
      <c r="F40" s="6">
        <v>3</v>
      </c>
      <c r="G40" s="12">
        <f t="shared" si="0"/>
        <v>90000</v>
      </c>
      <c r="H40" s="90" t="s">
        <v>49</v>
      </c>
      <c r="I40" s="90" t="s">
        <v>58</v>
      </c>
      <c r="J40" s="2">
        <v>-1117</v>
      </c>
      <c r="K40" s="3">
        <f>90000-16298-1806-7088+1418-15750-(-1796)-4709-9881-4662-88-7820-18257-(-1117)</f>
        <v>7972</v>
      </c>
      <c r="M40" s="31" t="s">
        <v>372</v>
      </c>
      <c r="N40" s="93" t="s">
        <v>361</v>
      </c>
      <c r="O40" s="19" t="s">
        <v>133</v>
      </c>
      <c r="P40" s="19" t="s">
        <v>247</v>
      </c>
      <c r="Q40" s="41">
        <v>6855</v>
      </c>
      <c r="R40" s="41">
        <v>-1064</v>
      </c>
      <c r="S40" s="41">
        <f t="shared" si="1"/>
        <v>7919</v>
      </c>
      <c r="T40" s="19" t="str">
        <f t="shared" si="2"/>
        <v>X</v>
      </c>
    </row>
    <row r="41" spans="1:20" ht="27.75" customHeight="1">
      <c r="A41" s="17">
        <v>39</v>
      </c>
      <c r="B41" s="18" t="s">
        <v>93</v>
      </c>
      <c r="C41" s="8" t="s">
        <v>41</v>
      </c>
      <c r="D41" s="1" t="s">
        <v>24</v>
      </c>
      <c r="E41" s="7">
        <v>100000</v>
      </c>
      <c r="F41" s="6">
        <v>3</v>
      </c>
      <c r="G41" s="12">
        <v>300000</v>
      </c>
      <c r="H41" s="87" t="s">
        <v>200</v>
      </c>
      <c r="I41" s="1"/>
      <c r="J41" s="2">
        <v>-2260</v>
      </c>
      <c r="K41" s="3">
        <f>0-38834+39200-(-2260)</f>
        <v>2626</v>
      </c>
      <c r="L41" s="94" t="s">
        <v>26</v>
      </c>
      <c r="M41" s="31" t="s">
        <v>374</v>
      </c>
      <c r="N41" s="19" t="s">
        <v>197</v>
      </c>
      <c r="O41" s="19" t="s">
        <v>125</v>
      </c>
      <c r="P41" s="19" t="s">
        <v>246</v>
      </c>
      <c r="Q41" s="41">
        <v>366</v>
      </c>
      <c r="R41" s="41">
        <v>-2152</v>
      </c>
      <c r="S41" s="41">
        <f t="shared" si="1"/>
        <v>2518</v>
      </c>
      <c r="T41" s="19" t="str">
        <f t="shared" si="2"/>
        <v>X</v>
      </c>
    </row>
    <row r="42" spans="1:20" ht="27.75" customHeight="1">
      <c r="A42" s="17">
        <v>40</v>
      </c>
      <c r="B42" s="14" t="s">
        <v>17</v>
      </c>
      <c r="C42" s="13" t="s">
        <v>98</v>
      </c>
      <c r="D42" s="1" t="s">
        <v>25</v>
      </c>
      <c r="E42" s="7">
        <v>50000</v>
      </c>
      <c r="F42" s="6">
        <v>6</v>
      </c>
      <c r="G42" s="12">
        <f t="shared" si="0"/>
        <v>300000</v>
      </c>
      <c r="H42" s="1" t="s">
        <v>202</v>
      </c>
      <c r="I42" s="1" t="s">
        <v>300</v>
      </c>
      <c r="J42" s="2">
        <v>122269</v>
      </c>
      <c r="K42" s="3">
        <f>42670+309800-102470-54520+4520-45003-122269+71544</f>
        <v>104272</v>
      </c>
      <c r="L42" s="59" t="s">
        <v>301</v>
      </c>
      <c r="M42" s="31" t="s">
        <v>374</v>
      </c>
      <c r="N42" s="61" t="s">
        <v>304</v>
      </c>
      <c r="O42" s="19" t="s">
        <v>139</v>
      </c>
      <c r="P42" s="19" t="s">
        <v>249</v>
      </c>
      <c r="Q42" s="41">
        <v>154997</v>
      </c>
      <c r="R42" s="41">
        <v>116447</v>
      </c>
      <c r="S42" s="41">
        <f t="shared" si="1"/>
        <v>38550</v>
      </c>
      <c r="T42" s="19" t="str">
        <f t="shared" si="2"/>
        <v>X</v>
      </c>
    </row>
    <row r="43" spans="1:20" ht="27.75" customHeight="1">
      <c r="A43" s="17">
        <v>41</v>
      </c>
      <c r="B43" s="14" t="s">
        <v>40</v>
      </c>
      <c r="C43" s="13" t="s">
        <v>241</v>
      </c>
      <c r="D43" s="1" t="s">
        <v>25</v>
      </c>
      <c r="E43" s="7">
        <v>50000</v>
      </c>
      <c r="F43" s="6">
        <v>6</v>
      </c>
      <c r="G43" s="12">
        <f t="shared" si="0"/>
        <v>300000</v>
      </c>
      <c r="H43" s="1" t="s">
        <v>138</v>
      </c>
      <c r="I43" s="1" t="s">
        <v>279</v>
      </c>
      <c r="J43" s="2">
        <v>0</v>
      </c>
      <c r="K43" s="3">
        <f>300000-29215-14931-13608-(-2132)-J43</f>
        <v>244378</v>
      </c>
      <c r="L43" s="93" t="s">
        <v>355</v>
      </c>
      <c r="M43" s="49" t="s">
        <v>369</v>
      </c>
      <c r="N43" s="45" t="s">
        <v>280</v>
      </c>
      <c r="O43" s="19" t="s">
        <v>128</v>
      </c>
      <c r="P43" s="19" t="s">
        <v>247</v>
      </c>
      <c r="Q43" s="41">
        <v>244378</v>
      </c>
      <c r="R43" s="41">
        <v>0</v>
      </c>
      <c r="S43" s="41">
        <f t="shared" si="1"/>
        <v>244378</v>
      </c>
      <c r="T43" s="19" t="str">
        <f t="shared" si="2"/>
        <v>O</v>
      </c>
    </row>
    <row r="44" spans="1:20" ht="27.75" customHeight="1">
      <c r="A44" s="17">
        <v>42</v>
      </c>
      <c r="B44" s="14" t="s">
        <v>40</v>
      </c>
      <c r="C44" s="13" t="s">
        <v>242</v>
      </c>
      <c r="D44" s="1" t="s">
        <v>16</v>
      </c>
      <c r="E44" s="7">
        <v>50000</v>
      </c>
      <c r="F44" s="6">
        <v>6</v>
      </c>
      <c r="G44" s="12">
        <f t="shared" si="0"/>
        <v>300000</v>
      </c>
      <c r="H44" s="1" t="s">
        <v>218</v>
      </c>
      <c r="I44" s="91" t="s">
        <v>300</v>
      </c>
      <c r="J44" s="2">
        <v>-7909</v>
      </c>
      <c r="K44" s="3">
        <f>17792+300000-24147-114611+20966-(-7909)</f>
        <v>207909</v>
      </c>
      <c r="L44" s="93" t="s">
        <v>347</v>
      </c>
      <c r="M44" s="31" t="s">
        <v>369</v>
      </c>
      <c r="N44" s="52" t="s">
        <v>295</v>
      </c>
      <c r="O44" s="19" t="s">
        <v>129</v>
      </c>
      <c r="P44" s="19" t="s">
        <v>247</v>
      </c>
      <c r="Q44" s="41">
        <v>179034</v>
      </c>
      <c r="R44" s="41">
        <v>-7532</v>
      </c>
      <c r="S44" s="41">
        <f t="shared" si="1"/>
        <v>186566</v>
      </c>
      <c r="T44" s="19" t="str">
        <f t="shared" si="2"/>
        <v>X</v>
      </c>
    </row>
    <row r="45" spans="1:20" ht="27.75" customHeight="1">
      <c r="A45" s="17">
        <v>43</v>
      </c>
      <c r="B45" s="14" t="s">
        <v>17</v>
      </c>
      <c r="C45" s="13" t="s">
        <v>89</v>
      </c>
      <c r="D45" s="1" t="s">
        <v>24</v>
      </c>
      <c r="E45" s="7">
        <v>100000</v>
      </c>
      <c r="F45" s="6">
        <v>3</v>
      </c>
      <c r="G45" s="12">
        <f t="shared" si="0"/>
        <v>300000</v>
      </c>
      <c r="H45" s="1" t="s">
        <v>138</v>
      </c>
      <c r="I45" s="91" t="s">
        <v>218</v>
      </c>
      <c r="J45" s="2">
        <v>0</v>
      </c>
      <c r="K45" s="3">
        <f>300000-30131-12413-70480-68455-56711-4628-61530+4340+8-33706+300000-32576-32389-13701-J45</f>
        <v>187628</v>
      </c>
      <c r="L45" s="44" t="s">
        <v>276</v>
      </c>
      <c r="M45" s="49" t="s">
        <v>369</v>
      </c>
      <c r="N45" s="44" t="s">
        <v>277</v>
      </c>
      <c r="O45" s="19" t="s">
        <v>145</v>
      </c>
      <c r="P45" s="19" t="s">
        <v>248</v>
      </c>
      <c r="Q45" s="41">
        <v>187628</v>
      </c>
      <c r="R45" s="41">
        <v>0</v>
      </c>
      <c r="S45" s="41">
        <f t="shared" si="1"/>
        <v>187628</v>
      </c>
      <c r="T45" s="19" t="str">
        <f t="shared" si="2"/>
        <v>O</v>
      </c>
    </row>
    <row r="46" spans="1:20" ht="27.75" customHeight="1">
      <c r="A46" s="17">
        <v>44</v>
      </c>
      <c r="B46" s="14" t="s">
        <v>17</v>
      </c>
      <c r="C46" s="13" t="s">
        <v>228</v>
      </c>
      <c r="D46" s="1" t="s">
        <v>24</v>
      </c>
      <c r="E46" s="7">
        <v>100000</v>
      </c>
      <c r="F46" s="6">
        <v>3</v>
      </c>
      <c r="G46" s="12">
        <f t="shared" si="0"/>
        <v>300000</v>
      </c>
      <c r="H46" s="88" t="s">
        <v>255</v>
      </c>
      <c r="I46" s="85" t="s">
        <v>292</v>
      </c>
      <c r="J46" s="2">
        <v>44578</v>
      </c>
      <c r="K46" s="3">
        <f>7504+338800-146304-44578</f>
        <v>155422</v>
      </c>
      <c r="L46" s="95" t="s">
        <v>356</v>
      </c>
      <c r="M46" s="31" t="s">
        <v>368</v>
      </c>
      <c r="N46" s="75" t="s">
        <v>326</v>
      </c>
      <c r="O46" s="19" t="s">
        <v>116</v>
      </c>
      <c r="P46" s="19" t="s">
        <v>249</v>
      </c>
      <c r="Q46" s="41">
        <v>200000</v>
      </c>
      <c r="R46" s="41">
        <v>42455</v>
      </c>
      <c r="S46" s="41">
        <f t="shared" si="1"/>
        <v>157545</v>
      </c>
      <c r="T46" s="19" t="str">
        <f t="shared" si="2"/>
        <v>X</v>
      </c>
    </row>
    <row r="47" spans="1:20" ht="27.75" customHeight="1">
      <c r="A47" s="17">
        <v>45</v>
      </c>
      <c r="B47" s="14" t="s">
        <v>40</v>
      </c>
      <c r="C47" s="13" t="s">
        <v>54</v>
      </c>
      <c r="D47" s="1" t="s">
        <v>25</v>
      </c>
      <c r="E47" s="7">
        <v>50000</v>
      </c>
      <c r="F47" s="6">
        <v>6</v>
      </c>
      <c r="G47" s="12">
        <f t="shared" si="0"/>
        <v>300000</v>
      </c>
      <c r="H47" s="1" t="s">
        <v>202</v>
      </c>
      <c r="I47" s="91" t="s">
        <v>300</v>
      </c>
      <c r="J47" s="2">
        <v>0</v>
      </c>
      <c r="K47" s="3">
        <f>300000-55884+5884-25011-30020-J47</f>
        <v>194969</v>
      </c>
      <c r="L47" s="47" t="s">
        <v>284</v>
      </c>
      <c r="M47" s="49" t="s">
        <v>369</v>
      </c>
      <c r="N47" s="47" t="s">
        <v>285</v>
      </c>
      <c r="O47" s="19" t="s">
        <v>130</v>
      </c>
      <c r="P47" s="19" t="s">
        <v>247</v>
      </c>
      <c r="Q47" s="41">
        <v>194969</v>
      </c>
      <c r="R47" s="41">
        <v>0</v>
      </c>
      <c r="S47" s="41">
        <f t="shared" si="1"/>
        <v>194969</v>
      </c>
      <c r="T47" s="19" t="str">
        <f t="shared" si="2"/>
        <v>O</v>
      </c>
    </row>
    <row r="48" spans="1:20" ht="27.75" customHeight="1">
      <c r="A48" s="17">
        <v>46</v>
      </c>
      <c r="B48" s="30" t="s">
        <v>21</v>
      </c>
      <c r="C48" s="25" t="s">
        <v>48</v>
      </c>
      <c r="D48" s="1" t="s">
        <v>25</v>
      </c>
      <c r="E48" s="7">
        <v>100000</v>
      </c>
      <c r="F48" s="6">
        <v>1</v>
      </c>
      <c r="G48" s="12">
        <f t="shared" si="0"/>
        <v>100000</v>
      </c>
      <c r="H48" s="86" t="s">
        <v>140</v>
      </c>
      <c r="I48" s="96" t="s">
        <v>90</v>
      </c>
      <c r="J48" s="2">
        <v>987</v>
      </c>
      <c r="K48" s="3">
        <f>11922-97770+300000+3839-(-1302)-(-63)-5775-2068-21000-5204-2982-3331-J48</f>
        <v>178009</v>
      </c>
      <c r="M48" s="31" t="s">
        <v>368</v>
      </c>
      <c r="N48" s="19" t="s">
        <v>141</v>
      </c>
      <c r="O48" s="19" t="s">
        <v>142</v>
      </c>
      <c r="P48" s="19" t="s">
        <v>249</v>
      </c>
      <c r="Q48" s="41">
        <v>178996</v>
      </c>
      <c r="R48" s="41">
        <v>940</v>
      </c>
      <c r="S48" s="41">
        <f t="shared" si="1"/>
        <v>178056</v>
      </c>
      <c r="T48" s="19" t="str">
        <f t="shared" si="2"/>
        <v>X</v>
      </c>
    </row>
    <row r="49" spans="1:20" ht="27.75" customHeight="1">
      <c r="A49" s="17">
        <v>47</v>
      </c>
      <c r="B49" s="14" t="s">
        <v>17</v>
      </c>
      <c r="C49" s="13" t="s">
        <v>53</v>
      </c>
      <c r="D49" s="1" t="s">
        <v>25</v>
      </c>
      <c r="E49" s="7">
        <v>30000</v>
      </c>
      <c r="F49" s="6">
        <v>3</v>
      </c>
      <c r="G49" s="12">
        <f t="shared" si="0"/>
        <v>90000</v>
      </c>
      <c r="H49" s="87" t="s">
        <v>88</v>
      </c>
      <c r="I49" s="1" t="s">
        <v>202</v>
      </c>
      <c r="J49" s="2">
        <v>4431</v>
      </c>
      <c r="K49" s="3">
        <f>18100+300000-59068-22470-(-4620)-41839-55199-4431</f>
        <v>139713</v>
      </c>
      <c r="L49" s="19" t="s">
        <v>265</v>
      </c>
      <c r="M49" s="31" t="s">
        <v>367</v>
      </c>
      <c r="N49" s="19" t="s">
        <v>266</v>
      </c>
      <c r="O49" s="19" t="s">
        <v>158</v>
      </c>
      <c r="P49" s="19" t="s">
        <v>247</v>
      </c>
      <c r="Q49" s="41">
        <v>144144</v>
      </c>
      <c r="R49" s="41">
        <v>4220</v>
      </c>
      <c r="S49" s="41">
        <f t="shared" si="1"/>
        <v>139924</v>
      </c>
      <c r="T49" s="19" t="str">
        <f t="shared" si="2"/>
        <v>X</v>
      </c>
    </row>
    <row r="50" spans="1:20" ht="27.75" customHeight="1">
      <c r="A50" s="17">
        <v>48</v>
      </c>
      <c r="B50" s="16" t="s">
        <v>45</v>
      </c>
      <c r="C50" s="9" t="s">
        <v>207</v>
      </c>
      <c r="D50" s="1" t="s">
        <v>24</v>
      </c>
      <c r="E50" s="7">
        <v>100000</v>
      </c>
      <c r="F50" s="6">
        <v>3</v>
      </c>
      <c r="G50" s="12">
        <f t="shared" si="0"/>
        <v>300000</v>
      </c>
      <c r="H50" s="90" t="s">
        <v>49</v>
      </c>
      <c r="I50" s="90" t="s">
        <v>58</v>
      </c>
      <c r="J50" s="2">
        <v>0</v>
      </c>
      <c r="K50" s="3">
        <f>300000-59527-9912-7192-22294-25902-23719-19560-2678-5928-7835-2663-20118-22750-5946-1358-5427-21597-15939-J50</f>
        <v>19655</v>
      </c>
      <c r="M50" s="49" t="s">
        <v>369</v>
      </c>
      <c r="N50" s="93" t="s">
        <v>362</v>
      </c>
      <c r="O50" s="19" t="s">
        <v>117</v>
      </c>
      <c r="P50" s="19" t="s">
        <v>249</v>
      </c>
      <c r="Q50" s="41">
        <v>19655</v>
      </c>
      <c r="R50" s="41">
        <v>0</v>
      </c>
      <c r="S50" s="41">
        <f t="shared" si="1"/>
        <v>19655</v>
      </c>
      <c r="T50" s="19" t="str">
        <f t="shared" si="2"/>
        <v>O</v>
      </c>
    </row>
    <row r="51" spans="1:20" ht="27.75" customHeight="1">
      <c r="A51" s="17">
        <v>49</v>
      </c>
      <c r="B51" s="30" t="s">
        <v>21</v>
      </c>
      <c r="C51" s="25" t="s">
        <v>42</v>
      </c>
      <c r="D51" s="1" t="s">
        <v>24</v>
      </c>
      <c r="E51" s="7">
        <v>100000</v>
      </c>
      <c r="F51" s="6">
        <v>3</v>
      </c>
      <c r="G51" s="12">
        <f t="shared" si="0"/>
        <v>300000</v>
      </c>
      <c r="H51" s="86" t="s">
        <v>68</v>
      </c>
      <c r="I51" s="86" t="s">
        <v>70</v>
      </c>
      <c r="J51" s="2">
        <v>4660</v>
      </c>
      <c r="K51" s="3">
        <f>90000-20864-4977-1092-420-9909-23121-6589-14291+593-8560+7673-23543+300000-22705-1987-27416-882-26744-15496-6114-3480-1556-4250-3875-5975-63806-16034-4660</f>
        <v>79920</v>
      </c>
      <c r="M51" s="31" t="s">
        <v>367</v>
      </c>
      <c r="O51" s="19" t="s">
        <v>159</v>
      </c>
      <c r="P51" s="19" t="s">
        <v>247</v>
      </c>
      <c r="Q51" s="41">
        <v>84580</v>
      </c>
      <c r="R51" s="41">
        <v>4438</v>
      </c>
      <c r="S51" s="41">
        <f t="shared" si="1"/>
        <v>80142</v>
      </c>
      <c r="T51" s="19" t="str">
        <f t="shared" si="2"/>
        <v>X</v>
      </c>
    </row>
    <row r="52" spans="1:20" ht="27.75" customHeight="1">
      <c r="A52" s="17">
        <v>50</v>
      </c>
      <c r="B52" s="16" t="s">
        <v>45</v>
      </c>
      <c r="C52" s="9" t="s">
        <v>81</v>
      </c>
      <c r="D52" s="1" t="s">
        <v>24</v>
      </c>
      <c r="E52" s="7">
        <v>100000</v>
      </c>
      <c r="F52" s="6">
        <v>3</v>
      </c>
      <c r="G52" s="12">
        <f t="shared" si="0"/>
        <v>300000</v>
      </c>
      <c r="H52" s="89" t="s">
        <v>33</v>
      </c>
      <c r="I52" s="89" t="s">
        <v>35</v>
      </c>
      <c r="J52" s="2">
        <v>0</v>
      </c>
      <c r="K52" s="3">
        <f>300000-102971-13210-34112-93151-2640-9150-8556+904-2570-10892-560+7196-10260-9600+664-9274+300000-3969-8282-3914-2667-31332+775-8822-31857-12411-36204-3812+384-81890-2699-3150-6936-2392-7728-1932-7367-(-1554)-3969-(-832)-15015-23069-(-1859)-966-J52</f>
        <v>6839</v>
      </c>
      <c r="M52" s="49" t="s">
        <v>369</v>
      </c>
      <c r="N52" s="93" t="s">
        <v>363</v>
      </c>
      <c r="O52" s="19" t="s">
        <v>160</v>
      </c>
      <c r="P52" s="19" t="s">
        <v>247</v>
      </c>
      <c r="Q52" s="41">
        <v>6839</v>
      </c>
      <c r="R52" s="41">
        <v>0</v>
      </c>
      <c r="S52" s="41">
        <f t="shared" si="1"/>
        <v>6839</v>
      </c>
      <c r="T52" s="19" t="str">
        <f t="shared" si="2"/>
        <v>O</v>
      </c>
    </row>
    <row r="53" spans="1:20" ht="27.75" customHeight="1">
      <c r="A53" s="17">
        <v>51</v>
      </c>
      <c r="B53" s="14" t="s">
        <v>40</v>
      </c>
      <c r="C53" s="13" t="s">
        <v>61</v>
      </c>
      <c r="D53" s="1" t="s">
        <v>25</v>
      </c>
      <c r="E53" s="7">
        <v>50000</v>
      </c>
      <c r="F53" s="6">
        <v>6</v>
      </c>
      <c r="G53" s="12">
        <f t="shared" si="0"/>
        <v>300000</v>
      </c>
      <c r="H53" s="1" t="s">
        <v>74</v>
      </c>
      <c r="I53" s="1" t="s">
        <v>218</v>
      </c>
      <c r="J53" s="2">
        <v>0</v>
      </c>
      <c r="K53" s="3">
        <f>6424-4347-578-4599+3100+26230+300000-76230-(-3696)-8043-45507-41375-(-840)-J53</f>
        <v>159611</v>
      </c>
      <c r="M53" s="49" t="s">
        <v>369</v>
      </c>
      <c r="N53" s="19" t="s">
        <v>219</v>
      </c>
      <c r="O53" s="19" t="s">
        <v>187</v>
      </c>
      <c r="P53" s="19" t="s">
        <v>249</v>
      </c>
      <c r="Q53" s="41">
        <v>159611</v>
      </c>
      <c r="R53" s="41">
        <v>0</v>
      </c>
      <c r="S53" s="41">
        <f t="shared" si="1"/>
        <v>159611</v>
      </c>
      <c r="T53" s="19" t="str">
        <f t="shared" si="2"/>
        <v>O</v>
      </c>
    </row>
    <row r="54" spans="1:20" ht="27.75" customHeight="1">
      <c r="A54" s="17">
        <v>52</v>
      </c>
      <c r="B54" s="14" t="s">
        <v>40</v>
      </c>
      <c r="C54" s="13" t="s">
        <v>47</v>
      </c>
      <c r="D54" s="1" t="s">
        <v>24</v>
      </c>
      <c r="E54" s="7">
        <v>100000</v>
      </c>
      <c r="F54" s="6">
        <v>3</v>
      </c>
      <c r="G54" s="12">
        <f t="shared" si="0"/>
        <v>300000</v>
      </c>
      <c r="H54" s="1" t="s">
        <v>224</v>
      </c>
      <c r="I54" s="1" t="s">
        <v>138</v>
      </c>
      <c r="J54" s="2">
        <v>26131</v>
      </c>
      <c r="K54" s="3">
        <f>18120+143693-161813+300000-(-8841)-(-305)-17566-5534-135160+134988-0-26131</f>
        <v>259743</v>
      </c>
      <c r="M54" s="31" t="s">
        <v>367</v>
      </c>
      <c r="N54" s="19" t="s">
        <v>210</v>
      </c>
      <c r="O54" s="19" t="s">
        <v>131</v>
      </c>
      <c r="P54" s="19" t="s">
        <v>247</v>
      </c>
      <c r="Q54" s="41">
        <v>285874</v>
      </c>
      <c r="R54" s="41">
        <v>24887</v>
      </c>
      <c r="S54" s="41">
        <f t="shared" si="1"/>
        <v>260987</v>
      </c>
      <c r="T54" s="19" t="str">
        <f t="shared" si="2"/>
        <v>X</v>
      </c>
    </row>
    <row r="55" spans="1:20" ht="27.75" customHeight="1">
      <c r="A55" s="17">
        <v>53</v>
      </c>
      <c r="B55" s="16" t="s">
        <v>45</v>
      </c>
      <c r="C55" s="9" t="s">
        <v>243</v>
      </c>
      <c r="D55" s="1" t="s">
        <v>25</v>
      </c>
      <c r="E55" s="7">
        <v>50000</v>
      </c>
      <c r="F55" s="6">
        <v>12</v>
      </c>
      <c r="G55" s="12">
        <f t="shared" si="0"/>
        <v>600000</v>
      </c>
      <c r="H55" s="89" t="s">
        <v>32</v>
      </c>
      <c r="I55" s="89" t="s">
        <v>34</v>
      </c>
      <c r="J55" s="2">
        <v>17266</v>
      </c>
      <c r="K55" s="3">
        <f>556484+7498+220+2305-10376-7753-2986-10472-6850-4896-6756-5141-14864-5497-16360-74603-23672-26745-24570-10915-2479-1945-33512-4956-38451-27983-3654-21734-10518-11840+268-34623-(-6292)-8957-21538-(-500)-25169-12936-(-2772)-17266</f>
        <v>46322</v>
      </c>
      <c r="M55" s="31" t="s">
        <v>369</v>
      </c>
      <c r="N55" s="93" t="s">
        <v>364</v>
      </c>
      <c r="O55" s="19" t="s">
        <v>188</v>
      </c>
      <c r="P55" s="19" t="s">
        <v>247</v>
      </c>
      <c r="Q55" s="41">
        <v>63588</v>
      </c>
      <c r="R55" s="41">
        <v>16444</v>
      </c>
      <c r="S55" s="41">
        <f t="shared" si="1"/>
        <v>47144</v>
      </c>
      <c r="T55" s="19" t="str">
        <f t="shared" si="2"/>
        <v>X</v>
      </c>
    </row>
    <row r="56" spans="1:20" ht="27.75" customHeight="1">
      <c r="A56" s="17">
        <v>54</v>
      </c>
      <c r="B56" s="30" t="s">
        <v>21</v>
      </c>
      <c r="C56" s="25" t="s">
        <v>82</v>
      </c>
      <c r="D56" s="1" t="s">
        <v>24</v>
      </c>
      <c r="E56" s="7">
        <v>100000</v>
      </c>
      <c r="F56" s="6">
        <v>2</v>
      </c>
      <c r="G56" s="12">
        <f t="shared" si="0"/>
        <v>200000</v>
      </c>
      <c r="H56" s="86" t="s">
        <v>178</v>
      </c>
      <c r="I56" s="86" t="s">
        <v>71</v>
      </c>
      <c r="J56" s="2">
        <v>0</v>
      </c>
      <c r="K56" s="3">
        <f>200000-(-7917)-0-0-J56</f>
        <v>207917</v>
      </c>
      <c r="M56" s="49" t="s">
        <v>369</v>
      </c>
      <c r="N56" s="19" t="s">
        <v>177</v>
      </c>
      <c r="O56" s="19" t="s">
        <v>176</v>
      </c>
      <c r="P56" s="19" t="s">
        <v>246</v>
      </c>
      <c r="Q56" s="41">
        <v>207917</v>
      </c>
      <c r="R56" s="41">
        <v>0</v>
      </c>
      <c r="S56" s="41">
        <f t="shared" si="1"/>
        <v>207917</v>
      </c>
      <c r="T56" s="19" t="str">
        <f t="shared" si="2"/>
        <v>O</v>
      </c>
    </row>
    <row r="57" spans="1:20" ht="27.75" customHeight="1">
      <c r="A57" s="17">
        <v>55</v>
      </c>
      <c r="B57" s="30" t="s">
        <v>21</v>
      </c>
      <c r="C57" s="25" t="s">
        <v>51</v>
      </c>
      <c r="D57" s="1" t="s">
        <v>25</v>
      </c>
      <c r="E57" s="7">
        <v>50000</v>
      </c>
      <c r="F57" s="6">
        <v>6</v>
      </c>
      <c r="G57" s="12">
        <f t="shared" si="0"/>
        <v>300000</v>
      </c>
      <c r="H57" s="86" t="s">
        <v>64</v>
      </c>
      <c r="I57" s="86" t="s">
        <v>90</v>
      </c>
      <c r="J57" s="2">
        <v>0</v>
      </c>
      <c r="K57" s="3">
        <f>291213-8534-415-33896-7648-8294-25977-1182-1722-13726-0-1890-0-J57</f>
        <v>187929</v>
      </c>
      <c r="M57" s="49" t="s">
        <v>369</v>
      </c>
      <c r="O57" s="19" t="s">
        <v>127</v>
      </c>
      <c r="P57" s="19" t="s">
        <v>249</v>
      </c>
      <c r="Q57" s="41">
        <v>187929</v>
      </c>
      <c r="R57" s="41">
        <v>0</v>
      </c>
      <c r="S57" s="41">
        <f t="shared" si="1"/>
        <v>187929</v>
      </c>
      <c r="T57" s="19" t="str">
        <f t="shared" si="2"/>
        <v>O</v>
      </c>
    </row>
    <row r="58" spans="1:20" ht="27.75" customHeight="1">
      <c r="A58" s="17">
        <v>56</v>
      </c>
      <c r="B58" s="14" t="s">
        <v>40</v>
      </c>
      <c r="C58" s="14" t="s">
        <v>28</v>
      </c>
      <c r="D58" s="1" t="s">
        <v>24</v>
      </c>
      <c r="E58" s="7">
        <v>100000</v>
      </c>
      <c r="F58" s="6">
        <v>3</v>
      </c>
      <c r="G58" s="12">
        <f t="shared" si="0"/>
        <v>300000</v>
      </c>
      <c r="H58" s="1" t="s">
        <v>90</v>
      </c>
      <c r="I58" s="1" t="s">
        <v>202</v>
      </c>
      <c r="J58" s="2">
        <v>-470</v>
      </c>
      <c r="K58" s="3">
        <f>18092+300000-64117-22203-64266-33368-8329-22706-5462-5938-2416-37338-16832-83152+300000-17026-(-9888)-29563-35177-18692-(-788)-40201-(-470)</f>
        <v>122452</v>
      </c>
      <c r="M58" s="31" t="s">
        <v>368</v>
      </c>
      <c r="N58" s="19" t="s">
        <v>195</v>
      </c>
      <c r="O58" s="19" t="s">
        <v>143</v>
      </c>
      <c r="P58" s="19" t="s">
        <v>249</v>
      </c>
      <c r="Q58" s="41">
        <v>121982</v>
      </c>
      <c r="R58" s="41">
        <v>-448</v>
      </c>
      <c r="S58" s="41">
        <f t="shared" si="1"/>
        <v>122430</v>
      </c>
      <c r="T58" s="19" t="str">
        <f t="shared" si="2"/>
        <v>X</v>
      </c>
    </row>
    <row r="59" spans="1:20" ht="27.75" customHeight="1">
      <c r="A59" s="17">
        <v>57</v>
      </c>
      <c r="B59" s="30" t="s">
        <v>21</v>
      </c>
      <c r="C59" s="25" t="s">
        <v>27</v>
      </c>
      <c r="D59" s="1" t="s">
        <v>24</v>
      </c>
      <c r="E59" s="7">
        <v>100000</v>
      </c>
      <c r="F59" s="6">
        <v>3</v>
      </c>
      <c r="G59" s="12">
        <f t="shared" si="0"/>
        <v>300000</v>
      </c>
      <c r="H59" s="86" t="s">
        <v>72</v>
      </c>
      <c r="I59" s="86" t="s">
        <v>71</v>
      </c>
      <c r="J59" s="2">
        <v>21508</v>
      </c>
      <c r="K59" s="3">
        <f>300000-25355-14719-51053-51719-11218-41105-126-13914-158364+300000-120656-6950-31284-4508-17130-1494-(-2352)-(-605)-7350-25148-21508+644</f>
        <v>0</v>
      </c>
      <c r="M59" s="31" t="s">
        <v>374</v>
      </c>
      <c r="N59" s="19" t="s">
        <v>100</v>
      </c>
      <c r="O59" s="19" t="s">
        <v>169</v>
      </c>
      <c r="P59" s="19" t="s">
        <v>248</v>
      </c>
      <c r="Q59" s="41">
        <v>20864</v>
      </c>
      <c r="R59" s="41">
        <v>20484</v>
      </c>
      <c r="S59" s="41">
        <f t="shared" si="1"/>
        <v>380</v>
      </c>
      <c r="T59" s="19" t="str">
        <f t="shared" si="2"/>
        <v>X</v>
      </c>
    </row>
    <row r="60" spans="1:20" ht="27.75" customHeight="1">
      <c r="A60" s="17">
        <v>58</v>
      </c>
      <c r="B60" s="18" t="s">
        <v>44</v>
      </c>
      <c r="C60" s="8" t="s">
        <v>56</v>
      </c>
      <c r="D60" s="1" t="s">
        <v>25</v>
      </c>
      <c r="E60" s="7">
        <v>100000</v>
      </c>
      <c r="F60" s="6">
        <v>1</v>
      </c>
      <c r="G60" s="12">
        <f t="shared" si="0"/>
        <v>100000</v>
      </c>
      <c r="H60" s="87" t="s">
        <v>71</v>
      </c>
      <c r="I60" s="1"/>
      <c r="J60" s="2">
        <v>0</v>
      </c>
      <c r="K60" s="3">
        <f>90000-49135-31500+8001-7207+920+100000-50715-2617-6556-12090-34997-4253+149-0-J60</f>
        <v>0</v>
      </c>
      <c r="L60" s="94" t="s">
        <v>26</v>
      </c>
      <c r="M60" s="49" t="s">
        <v>369</v>
      </c>
      <c r="N60" s="19" t="s">
        <v>161</v>
      </c>
      <c r="O60" s="19" t="s">
        <v>120</v>
      </c>
      <c r="P60" s="19" t="s">
        <v>249</v>
      </c>
      <c r="Q60" s="41">
        <v>0</v>
      </c>
      <c r="R60" s="41">
        <v>0</v>
      </c>
      <c r="S60" s="41">
        <f t="shared" si="1"/>
        <v>0</v>
      </c>
      <c r="T60" s="19" t="str">
        <f t="shared" si="2"/>
        <v>O</v>
      </c>
    </row>
    <row r="61" spans="1:20" ht="27.75" customHeight="1">
      <c r="A61" s="17">
        <v>59</v>
      </c>
      <c r="B61" s="30" t="s">
        <v>21</v>
      </c>
      <c r="C61" s="25" t="s">
        <v>76</v>
      </c>
      <c r="D61" s="1" t="s">
        <v>16</v>
      </c>
      <c r="E61" s="7">
        <v>100000</v>
      </c>
      <c r="F61" s="6">
        <v>3</v>
      </c>
      <c r="G61" s="12">
        <f t="shared" si="0"/>
        <v>300000</v>
      </c>
      <c r="H61" s="92" t="s">
        <v>71</v>
      </c>
      <c r="I61" s="86" t="s">
        <v>74</v>
      </c>
      <c r="J61" s="2">
        <v>14471</v>
      </c>
      <c r="K61" s="3">
        <f>300000-57944-22743-10634-6377-40275-18188-13242-10332-15089-14471</f>
        <v>90705</v>
      </c>
      <c r="M61" s="31" t="s">
        <v>377</v>
      </c>
      <c r="N61" s="19" t="s">
        <v>122</v>
      </c>
      <c r="O61" s="19" t="s">
        <v>121</v>
      </c>
      <c r="P61" s="19" t="s">
        <v>249</v>
      </c>
      <c r="Q61" s="41">
        <v>105176</v>
      </c>
      <c r="R61" s="41">
        <v>13782</v>
      </c>
      <c r="S61" s="41">
        <f t="shared" si="1"/>
        <v>91394</v>
      </c>
      <c r="T61" s="19" t="str">
        <f t="shared" si="2"/>
        <v>X</v>
      </c>
    </row>
    <row r="62" spans="1:20" ht="27.75" customHeight="1">
      <c r="A62" s="17">
        <v>60</v>
      </c>
      <c r="B62" s="14" t="s">
        <v>17</v>
      </c>
      <c r="C62" s="13" t="s">
        <v>62</v>
      </c>
      <c r="D62" s="1" t="s">
        <v>25</v>
      </c>
      <c r="E62" s="7">
        <v>50000</v>
      </c>
      <c r="F62" s="6">
        <v>6</v>
      </c>
      <c r="G62" s="12">
        <f t="shared" si="0"/>
        <v>300000</v>
      </c>
      <c r="H62" s="87" t="s">
        <v>224</v>
      </c>
      <c r="I62" s="1" t="s">
        <v>258</v>
      </c>
      <c r="J62" s="2">
        <v>11208</v>
      </c>
      <c r="K62" s="3">
        <f>300000-7875-9736-(-1040)-0-7350-99557-11208</f>
        <v>165314</v>
      </c>
      <c r="L62" s="20"/>
      <c r="M62" s="31" t="s">
        <v>373</v>
      </c>
      <c r="N62" s="20" t="s">
        <v>251</v>
      </c>
      <c r="O62" s="19" t="s">
        <v>168</v>
      </c>
      <c r="P62" s="19" t="s">
        <v>248</v>
      </c>
      <c r="Q62" s="41">
        <v>176522</v>
      </c>
      <c r="R62" s="41">
        <v>10674</v>
      </c>
      <c r="S62" s="41">
        <f t="shared" si="1"/>
        <v>165848</v>
      </c>
      <c r="T62" s="19" t="str">
        <f t="shared" si="2"/>
        <v>X</v>
      </c>
    </row>
    <row r="63" spans="1:20" ht="27.75" customHeight="1">
      <c r="A63" s="17">
        <v>61</v>
      </c>
      <c r="B63" s="14" t="s">
        <v>17</v>
      </c>
      <c r="C63" s="13" t="s">
        <v>31</v>
      </c>
      <c r="D63" s="1" t="s">
        <v>24</v>
      </c>
      <c r="E63" s="7">
        <v>100000</v>
      </c>
      <c r="F63" s="6">
        <v>3</v>
      </c>
      <c r="G63" s="12">
        <f t="shared" si="0"/>
        <v>300000</v>
      </c>
      <c r="H63" s="87" t="s">
        <v>88</v>
      </c>
      <c r="I63" s="1" t="s">
        <v>202</v>
      </c>
      <c r="J63" s="2">
        <v>0</v>
      </c>
      <c r="K63" s="3">
        <f>300000-48258-108671-7271-9559-275-J63</f>
        <v>125966</v>
      </c>
      <c r="L63" s="93" t="s">
        <v>352</v>
      </c>
      <c r="M63" s="49" t="s">
        <v>369</v>
      </c>
      <c r="N63" s="19" t="s">
        <v>260</v>
      </c>
      <c r="O63" s="19" t="s">
        <v>136</v>
      </c>
      <c r="P63" s="19" t="s">
        <v>247</v>
      </c>
      <c r="Q63" s="41">
        <v>125966</v>
      </c>
      <c r="R63" s="41">
        <v>0</v>
      </c>
      <c r="S63" s="41">
        <f t="shared" si="1"/>
        <v>125966</v>
      </c>
      <c r="T63" s="19" t="str">
        <f t="shared" si="2"/>
        <v>O</v>
      </c>
    </row>
    <row r="64" spans="1:20" ht="27.75" customHeight="1">
      <c r="A64" s="17">
        <v>62</v>
      </c>
      <c r="B64" s="18" t="s">
        <v>44</v>
      </c>
      <c r="C64" s="8" t="s">
        <v>204</v>
      </c>
      <c r="D64" s="1" t="s">
        <v>25</v>
      </c>
      <c r="E64" s="7">
        <v>100000</v>
      </c>
      <c r="F64" s="6">
        <v>1</v>
      </c>
      <c r="G64" s="12">
        <f t="shared" si="0"/>
        <v>100000</v>
      </c>
      <c r="H64" s="1" t="s">
        <v>205</v>
      </c>
      <c r="I64" s="1"/>
      <c r="J64" s="2">
        <v>2489</v>
      </c>
      <c r="K64" s="3">
        <f>-2489</f>
        <v>-2489</v>
      </c>
      <c r="L64" s="94" t="s">
        <v>26</v>
      </c>
      <c r="M64" s="31" t="s">
        <v>372</v>
      </c>
      <c r="N64" s="19" t="s">
        <v>206</v>
      </c>
      <c r="O64" s="19" t="s">
        <v>203</v>
      </c>
      <c r="P64" s="19" t="s">
        <v>249</v>
      </c>
      <c r="Q64" s="41">
        <v>-10325</v>
      </c>
      <c r="R64" s="41">
        <v>2370</v>
      </c>
      <c r="S64" s="41">
        <f t="shared" si="1"/>
        <v>-12695</v>
      </c>
      <c r="T64" s="19" t="str">
        <f t="shared" si="2"/>
        <v>X</v>
      </c>
    </row>
    <row r="65" spans="1:20" ht="27.75" customHeight="1">
      <c r="A65" s="17">
        <v>63</v>
      </c>
      <c r="B65" s="14" t="s">
        <v>17</v>
      </c>
      <c r="C65" s="13" t="s">
        <v>57</v>
      </c>
      <c r="D65" s="1" t="s">
        <v>25</v>
      </c>
      <c r="E65" s="7">
        <v>50000</v>
      </c>
      <c r="F65" s="6">
        <v>6</v>
      </c>
      <c r="G65" s="12">
        <f t="shared" si="0"/>
        <v>300000</v>
      </c>
      <c r="H65" s="87" t="s">
        <v>71</v>
      </c>
      <c r="I65" s="1" t="s">
        <v>138</v>
      </c>
      <c r="J65" s="2">
        <v>8921</v>
      </c>
      <c r="K65" s="3">
        <f>9182+300000-53834-8363-66119-5118-32723-9160-2310-8921</f>
        <v>122634</v>
      </c>
      <c r="M65" s="31" t="s">
        <v>372</v>
      </c>
      <c r="N65" s="19" t="s">
        <v>162</v>
      </c>
      <c r="O65" s="19" t="s">
        <v>115</v>
      </c>
      <c r="P65" s="19" t="s">
        <v>249</v>
      </c>
      <c r="Q65" s="41">
        <v>131555</v>
      </c>
      <c r="R65" s="41">
        <v>8496</v>
      </c>
      <c r="S65" s="41">
        <f t="shared" si="1"/>
        <v>123059</v>
      </c>
      <c r="T65" s="19" t="str">
        <f t="shared" si="2"/>
        <v>X</v>
      </c>
    </row>
    <row r="66" spans="1:20" ht="27.75" customHeight="1">
      <c r="A66" s="17">
        <v>64</v>
      </c>
      <c r="B66" s="18" t="s">
        <v>44</v>
      </c>
      <c r="C66" s="8" t="s">
        <v>63</v>
      </c>
      <c r="D66" s="1" t="s">
        <v>60</v>
      </c>
      <c r="E66" s="7">
        <v>50000</v>
      </c>
      <c r="F66" s="6">
        <v>6</v>
      </c>
      <c r="G66" s="12">
        <f t="shared" si="0"/>
        <v>300000</v>
      </c>
      <c r="H66" s="87" t="s">
        <v>224</v>
      </c>
      <c r="I66" s="1" t="s">
        <v>138</v>
      </c>
      <c r="J66" s="2">
        <v>0</v>
      </c>
      <c r="K66" s="3">
        <f>90000-8293+1950-98960+15303+300000-7560-11764-20118-17004+300000-344627-38220-(-6962)-7434-18139-152630+10534</f>
        <v>0</v>
      </c>
      <c r="L66" s="94" t="s">
        <v>26</v>
      </c>
      <c r="M66" s="49" t="s">
        <v>369</v>
      </c>
      <c r="N66" s="19" t="s">
        <v>250</v>
      </c>
      <c r="O66" s="19" t="s">
        <v>132</v>
      </c>
      <c r="P66" s="19" t="s">
        <v>247</v>
      </c>
      <c r="Q66" s="41">
        <v>0</v>
      </c>
      <c r="R66" s="41">
        <v>0</v>
      </c>
      <c r="S66" s="41">
        <f t="shared" si="1"/>
        <v>0</v>
      </c>
      <c r="T66" s="19" t="str">
        <f t="shared" si="2"/>
        <v>O</v>
      </c>
    </row>
    <row r="67" spans="1:20" ht="27.75" customHeight="1">
      <c r="A67" s="17">
        <v>65</v>
      </c>
      <c r="B67" s="14" t="s">
        <v>17</v>
      </c>
      <c r="C67" s="13" t="s">
        <v>38</v>
      </c>
      <c r="D67" s="1" t="s">
        <v>15</v>
      </c>
      <c r="E67" s="7">
        <v>150000</v>
      </c>
      <c r="F67" s="6">
        <v>6</v>
      </c>
      <c r="G67" s="12">
        <f t="shared" si="0"/>
        <v>900000</v>
      </c>
      <c r="H67" s="87" t="s">
        <v>268</v>
      </c>
      <c r="I67" s="1" t="s">
        <v>269</v>
      </c>
      <c r="J67" s="2">
        <v>80418</v>
      </c>
      <c r="K67" s="3">
        <f>150000*6-99420-18220-135541-82176-70245-80418</f>
        <v>413980</v>
      </c>
      <c r="L67" s="19" t="s">
        <v>267</v>
      </c>
      <c r="M67" s="31" t="s">
        <v>374</v>
      </c>
      <c r="N67" s="19" t="s">
        <v>270</v>
      </c>
      <c r="O67" s="19" t="s">
        <v>175</v>
      </c>
      <c r="P67" s="19" t="s">
        <v>246</v>
      </c>
      <c r="Q67" s="41">
        <v>494398</v>
      </c>
      <c r="R67" s="41">
        <v>75969</v>
      </c>
      <c r="S67" s="41">
        <f t="shared" si="1"/>
        <v>418429</v>
      </c>
      <c r="T67" s="19" t="str">
        <f t="shared" si="2"/>
        <v>X</v>
      </c>
    </row>
    <row r="68" spans="1:20" ht="27.75" customHeight="1">
      <c r="A68" s="17">
        <v>66</v>
      </c>
      <c r="B68" s="14" t="s">
        <v>17</v>
      </c>
      <c r="C68" s="13" t="s">
        <v>73</v>
      </c>
      <c r="D68" s="1" t="s">
        <v>25</v>
      </c>
      <c r="E68" s="7">
        <v>50000</v>
      </c>
      <c r="F68" s="6">
        <v>6</v>
      </c>
      <c r="G68" s="12">
        <f t="shared" si="0"/>
        <v>300000</v>
      </c>
      <c r="H68" s="87" t="s">
        <v>55</v>
      </c>
      <c r="I68" s="1" t="s">
        <v>71</v>
      </c>
      <c r="J68" s="2">
        <v>0</v>
      </c>
      <c r="K68" s="3">
        <f>73398+300000-99178-11025-J68</f>
        <v>263195</v>
      </c>
      <c r="L68" s="93" t="s">
        <v>348</v>
      </c>
      <c r="M68" s="49" t="s">
        <v>369</v>
      </c>
      <c r="N68" s="57" t="s">
        <v>298</v>
      </c>
      <c r="O68" s="19" t="s">
        <v>146</v>
      </c>
      <c r="P68" s="19" t="s">
        <v>246</v>
      </c>
      <c r="Q68" s="41">
        <v>263195</v>
      </c>
      <c r="R68" s="41">
        <v>0</v>
      </c>
      <c r="S68" s="41">
        <f t="shared" ref="S68:S76" si="3">Q68-R68</f>
        <v>263195</v>
      </c>
      <c r="T68" s="19" t="str">
        <f t="shared" ref="T68:T76" si="4">IF(K68=S68,"O","X")</f>
        <v>O</v>
      </c>
    </row>
    <row r="69" spans="1:20" ht="27.75" customHeight="1">
      <c r="A69" s="17">
        <v>67</v>
      </c>
      <c r="B69" s="14" t="s">
        <v>17</v>
      </c>
      <c r="C69" s="13" t="s">
        <v>309</v>
      </c>
      <c r="D69" s="1" t="s">
        <v>24</v>
      </c>
      <c r="E69" s="7">
        <v>30000</v>
      </c>
      <c r="F69" s="6">
        <v>3</v>
      </c>
      <c r="G69" s="12">
        <f t="shared" si="0"/>
        <v>90000</v>
      </c>
      <c r="H69" s="87" t="s">
        <v>218</v>
      </c>
      <c r="I69" s="1" t="s">
        <v>258</v>
      </c>
      <c r="J69" s="2">
        <v>0</v>
      </c>
      <c r="K69" s="3">
        <f>90000-5313-J69</f>
        <v>84687</v>
      </c>
      <c r="L69" s="93" t="s">
        <v>349</v>
      </c>
      <c r="M69" s="49" t="s">
        <v>369</v>
      </c>
      <c r="N69" s="67" t="s">
        <v>308</v>
      </c>
      <c r="O69" s="66" t="s">
        <v>311</v>
      </c>
      <c r="P69" s="66" t="s">
        <v>312</v>
      </c>
      <c r="Q69" s="41">
        <v>84687</v>
      </c>
      <c r="R69" s="41">
        <v>0</v>
      </c>
      <c r="S69" s="41">
        <f t="shared" si="3"/>
        <v>84687</v>
      </c>
      <c r="T69" s="19" t="str">
        <f t="shared" si="4"/>
        <v>O</v>
      </c>
    </row>
    <row r="70" spans="1:20" ht="27.75" customHeight="1">
      <c r="A70" s="17">
        <v>68</v>
      </c>
      <c r="B70" s="14" t="s">
        <v>40</v>
      </c>
      <c r="C70" s="13" t="s">
        <v>189</v>
      </c>
      <c r="D70" s="1" t="s">
        <v>15</v>
      </c>
      <c r="E70" s="7">
        <v>100000</v>
      </c>
      <c r="F70" s="6">
        <v>3</v>
      </c>
      <c r="G70" s="12">
        <f t="shared" si="0"/>
        <v>300000</v>
      </c>
      <c r="H70" s="87" t="s">
        <v>190</v>
      </c>
      <c r="I70" s="1" t="s">
        <v>191</v>
      </c>
      <c r="J70" s="2">
        <v>20349</v>
      </c>
      <c r="K70" s="3">
        <f>300000-3904-171-22279-24548-4422-0-1502-8533-20349</f>
        <v>214292</v>
      </c>
      <c r="M70" s="31" t="s">
        <v>367</v>
      </c>
      <c r="N70" s="20" t="s">
        <v>171</v>
      </c>
      <c r="O70" s="19" t="s">
        <v>172</v>
      </c>
      <c r="P70" s="19" t="s">
        <v>246</v>
      </c>
      <c r="Q70" s="41">
        <v>234641</v>
      </c>
      <c r="R70" s="41">
        <v>19380</v>
      </c>
      <c r="S70" s="41">
        <f t="shared" si="3"/>
        <v>215261</v>
      </c>
      <c r="T70" s="19" t="str">
        <f t="shared" si="4"/>
        <v>X</v>
      </c>
    </row>
    <row r="71" spans="1:20" ht="27.75" customHeight="1">
      <c r="A71" s="17">
        <v>69</v>
      </c>
      <c r="B71" s="30" t="s">
        <v>21</v>
      </c>
      <c r="C71" s="25" t="s">
        <v>65</v>
      </c>
      <c r="D71" s="1" t="s">
        <v>25</v>
      </c>
      <c r="E71" s="7">
        <v>30000</v>
      </c>
      <c r="F71" s="6">
        <v>3</v>
      </c>
      <c r="G71" s="12">
        <f t="shared" si="0"/>
        <v>90000</v>
      </c>
      <c r="H71" s="92" t="s">
        <v>55</v>
      </c>
      <c r="I71" s="86" t="s">
        <v>70</v>
      </c>
      <c r="J71" s="2">
        <v>0</v>
      </c>
      <c r="K71" s="3">
        <f>300000-6732-149680+5310-23804-1573-(-4095)-2995-16120-6646-34272-19278-J71</f>
        <v>48305</v>
      </c>
      <c r="M71" s="49" t="s">
        <v>369</v>
      </c>
      <c r="N71" s="20"/>
      <c r="O71" s="19" t="s">
        <v>170</v>
      </c>
      <c r="P71" s="19" t="s">
        <v>246</v>
      </c>
      <c r="Q71" s="41">
        <v>48305</v>
      </c>
      <c r="R71" s="41">
        <v>0</v>
      </c>
      <c r="S71" s="41">
        <f t="shared" si="3"/>
        <v>48305</v>
      </c>
      <c r="T71" s="19" t="str">
        <f t="shared" si="4"/>
        <v>O</v>
      </c>
    </row>
    <row r="72" spans="1:20" ht="27.75" customHeight="1">
      <c r="A72" s="17">
        <v>70</v>
      </c>
      <c r="B72" s="14" t="s">
        <v>17</v>
      </c>
      <c r="C72" s="13" t="s">
        <v>52</v>
      </c>
      <c r="D72" s="1" t="s">
        <v>25</v>
      </c>
      <c r="E72" s="7">
        <v>30000</v>
      </c>
      <c r="F72" s="6">
        <v>6</v>
      </c>
      <c r="G72" s="12">
        <f t="shared" si="0"/>
        <v>180000</v>
      </c>
      <c r="H72" s="87" t="s">
        <v>218</v>
      </c>
      <c r="I72" s="1" t="s">
        <v>300</v>
      </c>
      <c r="J72" s="2">
        <v>6825</v>
      </c>
      <c r="K72" s="3">
        <f>39664+300000-52605-13703-6825</f>
        <v>266531</v>
      </c>
      <c r="L72" s="93" t="s">
        <v>348</v>
      </c>
      <c r="M72" s="31" t="s">
        <v>367</v>
      </c>
      <c r="N72" s="20"/>
      <c r="O72" s="19" t="s">
        <v>147</v>
      </c>
      <c r="P72" s="19" t="s">
        <v>246</v>
      </c>
      <c r="Q72" s="41">
        <v>273356</v>
      </c>
      <c r="R72" s="41">
        <v>6500</v>
      </c>
      <c r="S72" s="41">
        <f t="shared" si="3"/>
        <v>266856</v>
      </c>
      <c r="T72" s="19" t="str">
        <f t="shared" si="4"/>
        <v>X</v>
      </c>
    </row>
    <row r="73" spans="1:20" ht="27.75" customHeight="1">
      <c r="A73" s="17">
        <v>71</v>
      </c>
      <c r="B73" s="14" t="s">
        <v>40</v>
      </c>
      <c r="C73" s="13" t="s">
        <v>229</v>
      </c>
      <c r="D73" s="1" t="s">
        <v>25</v>
      </c>
      <c r="E73" s="7">
        <v>50000</v>
      </c>
      <c r="F73" s="6">
        <v>6</v>
      </c>
      <c r="G73" s="12">
        <f t="shared" si="0"/>
        <v>300000</v>
      </c>
      <c r="H73" s="87" t="s">
        <v>201</v>
      </c>
      <c r="I73" s="1" t="s">
        <v>227</v>
      </c>
      <c r="J73" s="2">
        <v>17220</v>
      </c>
      <c r="K73" s="3">
        <f>-24769+24769+300000-11519-7175-(-4162)-36815-12891-127221-17220</f>
        <v>91321</v>
      </c>
      <c r="M73" s="31" t="s">
        <v>367</v>
      </c>
      <c r="N73" s="20" t="s">
        <v>226</v>
      </c>
      <c r="O73" s="19" t="s">
        <v>163</v>
      </c>
      <c r="P73" s="19" t="s">
        <v>246</v>
      </c>
      <c r="Q73" s="41">
        <v>108541</v>
      </c>
      <c r="R73" s="41">
        <v>16400</v>
      </c>
      <c r="S73" s="41">
        <f t="shared" si="3"/>
        <v>92141</v>
      </c>
      <c r="T73" s="19" t="str">
        <f t="shared" si="4"/>
        <v>X</v>
      </c>
    </row>
    <row r="74" spans="1:20" ht="27.75" customHeight="1">
      <c r="A74" s="17">
        <v>72</v>
      </c>
      <c r="B74" s="18" t="s">
        <v>93</v>
      </c>
      <c r="C74" s="8" t="s">
        <v>84</v>
      </c>
      <c r="D74" s="1" t="s">
        <v>25</v>
      </c>
      <c r="E74" s="7">
        <v>50000</v>
      </c>
      <c r="F74" s="6">
        <v>6</v>
      </c>
      <c r="G74" s="12">
        <f t="shared" si="0"/>
        <v>300000</v>
      </c>
      <c r="H74" s="87" t="s">
        <v>85</v>
      </c>
      <c r="I74" s="1" t="s">
        <v>86</v>
      </c>
      <c r="J74" s="2">
        <v>-1277</v>
      </c>
      <c r="K74" s="3">
        <v>-1277</v>
      </c>
      <c r="L74" s="94" t="s">
        <v>26</v>
      </c>
      <c r="M74" s="31" t="s">
        <v>75</v>
      </c>
      <c r="N74" s="20" t="s">
        <v>87</v>
      </c>
      <c r="O74" s="19" t="s">
        <v>148</v>
      </c>
      <c r="P74" s="19" t="s">
        <v>246</v>
      </c>
      <c r="Q74" s="41">
        <v>-88956</v>
      </c>
      <c r="R74" s="41">
        <v>-1216</v>
      </c>
      <c r="S74" s="41">
        <f t="shared" si="3"/>
        <v>-87740</v>
      </c>
      <c r="T74" s="19" t="str">
        <f t="shared" si="4"/>
        <v>X</v>
      </c>
    </row>
    <row r="75" spans="1:20" ht="27.75" customHeight="1">
      <c r="A75" s="17">
        <v>73</v>
      </c>
      <c r="B75" s="16" t="s">
        <v>45</v>
      </c>
      <c r="C75" s="9" t="s">
        <v>0</v>
      </c>
      <c r="D75" s="1" t="s">
        <v>16</v>
      </c>
      <c r="E75" s="7">
        <v>50000</v>
      </c>
      <c r="F75" s="6">
        <v>10</v>
      </c>
      <c r="G75" s="12">
        <f t="shared" si="0"/>
        <v>500000</v>
      </c>
      <c r="H75" s="89" t="s">
        <v>13</v>
      </c>
      <c r="I75" s="89" t="s">
        <v>14</v>
      </c>
      <c r="J75" s="2">
        <v>0</v>
      </c>
      <c r="K75" s="3">
        <f>3112+4900-0-0-J75</f>
        <v>8012</v>
      </c>
      <c r="M75" s="49" t="s">
        <v>369</v>
      </c>
      <c r="N75" s="93" t="s">
        <v>365</v>
      </c>
      <c r="O75" s="19" t="s">
        <v>192</v>
      </c>
      <c r="P75" s="19" t="s">
        <v>248</v>
      </c>
      <c r="Q75" s="41">
        <v>8012</v>
      </c>
      <c r="R75" s="41">
        <v>0</v>
      </c>
      <c r="S75" s="41">
        <f t="shared" si="3"/>
        <v>8012</v>
      </c>
      <c r="T75" s="19" t="str">
        <f t="shared" si="4"/>
        <v>O</v>
      </c>
    </row>
    <row r="76" spans="1:20" ht="27.75" customHeight="1">
      <c r="A76" s="17">
        <v>74</v>
      </c>
      <c r="B76" s="14" t="s">
        <v>40</v>
      </c>
      <c r="C76" s="13" t="s">
        <v>244</v>
      </c>
      <c r="D76" s="1" t="s">
        <v>15</v>
      </c>
      <c r="E76" s="7">
        <v>100000</v>
      </c>
      <c r="F76" s="6">
        <v>3</v>
      </c>
      <c r="G76" s="12">
        <f t="shared" si="0"/>
        <v>300000</v>
      </c>
      <c r="H76" s="87" t="s">
        <v>224</v>
      </c>
      <c r="I76" s="1" t="s">
        <v>138</v>
      </c>
      <c r="J76" s="2">
        <v>15388</v>
      </c>
      <c r="K76" s="3">
        <f>20902+300000-35247-49429-34239-31248-33787-54580-15388</f>
        <v>66984</v>
      </c>
      <c r="L76" s="93" t="s">
        <v>357</v>
      </c>
      <c r="M76" s="31" t="s">
        <v>367</v>
      </c>
      <c r="N76" s="40" t="s">
        <v>253</v>
      </c>
      <c r="O76" s="19" t="s">
        <v>164</v>
      </c>
      <c r="P76" s="19" t="s">
        <v>249</v>
      </c>
      <c r="Q76" s="41">
        <v>82372</v>
      </c>
      <c r="R76" s="41">
        <v>14655</v>
      </c>
      <c r="S76" s="41">
        <f t="shared" si="3"/>
        <v>67717</v>
      </c>
      <c r="T76" s="19" t="str">
        <f t="shared" si="4"/>
        <v>X</v>
      </c>
    </row>
    <row r="77" spans="1:20" ht="21" customHeight="1">
      <c r="A77" s="189" t="s">
        <v>18</v>
      </c>
      <c r="B77" s="189"/>
      <c r="C77" s="189"/>
      <c r="D77" s="189"/>
      <c r="E77" s="190">
        <f>SUM(E3:E76)</f>
        <v>6450000</v>
      </c>
      <c r="F77" s="190"/>
      <c r="G77" s="190"/>
      <c r="H77" s="189" t="s">
        <v>23</v>
      </c>
      <c r="I77" s="189"/>
      <c r="J77" s="190">
        <f>SUM(J3:J76)</f>
        <v>1229665</v>
      </c>
      <c r="K77" s="190"/>
    </row>
    <row r="78" spans="1:20" ht="20.25" customHeight="1">
      <c r="A78" s="189" t="s">
        <v>29</v>
      </c>
      <c r="B78" s="189"/>
      <c r="C78" s="189"/>
      <c r="D78" s="189"/>
      <c r="E78" s="190">
        <f>E77-SUMIF(B3:B76,"待續約",E3:E76)</f>
        <v>5450000</v>
      </c>
      <c r="F78" s="190"/>
      <c r="G78" s="190"/>
      <c r="H78" s="191"/>
      <c r="I78" s="192"/>
      <c r="J78" s="193"/>
      <c r="K78" s="194"/>
    </row>
    <row r="79" spans="1:20" ht="21">
      <c r="A79" s="35" t="s">
        <v>19</v>
      </c>
      <c r="B79" s="4">
        <f>COUNTA(C3:C76)</f>
        <v>74</v>
      </c>
      <c r="C79" s="4" t="s">
        <v>20</v>
      </c>
      <c r="D79" s="4">
        <f>COUNTIF(B3:B76,"嚴重")</f>
        <v>8</v>
      </c>
      <c r="E79" s="4" t="s">
        <v>21</v>
      </c>
      <c r="F79" s="4">
        <f>COUNTIF(B3:B76,"逾期")</f>
        <v>12</v>
      </c>
      <c r="G79" s="36"/>
      <c r="H79" s="4" t="s">
        <v>22</v>
      </c>
      <c r="I79" s="4">
        <f>B79-D79-F79</f>
        <v>54</v>
      </c>
      <c r="J79" s="4" t="s">
        <v>7</v>
      </c>
      <c r="K79" s="37">
        <f>J77/E78</f>
        <v>0.22562660550458716</v>
      </c>
    </row>
    <row r="80" spans="1:20" s="21" customFormat="1">
      <c r="A80" s="19" t="s">
        <v>245</v>
      </c>
      <c r="B80" s="19"/>
      <c r="E80" s="38"/>
      <c r="G80" s="39"/>
      <c r="K80" s="19"/>
      <c r="N80" s="19"/>
      <c r="Q80" s="42"/>
      <c r="R80" s="41"/>
      <c r="S80" s="41"/>
      <c r="T80" s="19"/>
    </row>
    <row r="81" spans="14:14">
      <c r="N81" s="21"/>
    </row>
  </sheetData>
  <autoFilter ref="A2:S80" xr:uid="{00000000-0009-0000-0000-000008000000}"/>
  <mergeCells count="9">
    <mergeCell ref="A78:D78"/>
    <mergeCell ref="E78:G78"/>
    <mergeCell ref="H78:I78"/>
    <mergeCell ref="J78:K78"/>
    <mergeCell ref="A1:K1"/>
    <mergeCell ref="A77:D77"/>
    <mergeCell ref="E77:G77"/>
    <mergeCell ref="H77:I77"/>
    <mergeCell ref="J77:K77"/>
  </mergeCells>
  <phoneticPr fontId="54" type="noConversion"/>
  <conditionalFormatting sqref="A2:C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{BFFBD653-9811-4053-AB2F-44923CB501E9}</x14:id>
        </ext>
      </extLst>
    </cfRule>
  </conditionalFormatting>
  <conditionalFormatting sqref="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{714BFA7A-E38A-4A1B-A469-8142D1FC6FD5}</x14:id>
        </ext>
      </extLst>
    </cfRule>
  </conditionalFormatting>
  <conditionalFormatting sqref="E2:I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{066173BD-1FD5-48BF-9A2A-C678B2D5FDB8}</x14:id>
        </ext>
      </extLst>
    </cfRule>
  </conditionalFormatting>
  <conditionalFormatting sqref="J2:K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{6EABE1CE-423C-4DC6-9D11-16601A35034C}</x14:id>
        </ext>
      </extLst>
    </cfRule>
  </conditionalFormatting>
  <pageMargins left="0.31496062992125984" right="0.11811023622047245" top="0.15748031496062992" bottom="0" header="0.31496062992125984" footer="0.31496062992125984"/>
  <pageSetup paperSize="9" scale="65" fitToHeight="0" orientation="portrait" verticalDpi="18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FBD653-9811-4053-AB2F-44923CB50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A2:C2</xm:sqref>
        </x14:conditionalFormatting>
        <x14:conditionalFormatting xmlns:xm="http://schemas.microsoft.com/office/excel/2006/main">
          <x14:cfRule type="dataBar" id="{714BFA7A-E38A-4A1B-A469-8142D1FC6F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066173BD-1FD5-48BF-9A2A-C678B2D5FD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E2:I2</xm:sqref>
        </x14:conditionalFormatting>
        <x14:conditionalFormatting xmlns:xm="http://schemas.microsoft.com/office/excel/2006/main">
          <x14:cfRule type="dataBar" id="{6EABE1CE-423C-4DC6-9D11-16601A350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J2:K2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B02F-5B57-4048-BA6A-AAA6EC79453F}">
  <sheetPr>
    <pageSetUpPr fitToPage="1"/>
  </sheetPr>
  <dimension ref="A1:T81"/>
  <sheetViews>
    <sheetView zoomScale="80" zoomScaleNormal="80" zoomScaleSheetLayoutView="90" workbookViewId="0">
      <pane ySplit="2" topLeftCell="A63" activePane="bottomLeft" state="frozen"/>
      <selection pane="bottomLeft" activeCell="N13" sqref="N13"/>
    </sheetView>
  </sheetViews>
  <sheetFormatPr defaultRowHeight="15.75"/>
  <cols>
    <col min="1" max="1" width="7.25" style="19" customWidth="1"/>
    <col min="2" max="2" width="12.125" style="19" customWidth="1"/>
    <col min="3" max="3" width="13.5" style="21" customWidth="1"/>
    <col min="4" max="4" width="9.875" style="21" customWidth="1"/>
    <col min="5" max="5" width="14.625" style="21" bestFit="1" customWidth="1"/>
    <col min="6" max="6" width="7.5" style="21" customWidth="1"/>
    <col min="7" max="7" width="14" style="39" customWidth="1"/>
    <col min="8" max="8" width="12.75" style="21" customWidth="1"/>
    <col min="9" max="9" width="14.5" style="21" customWidth="1"/>
    <col min="10" max="10" width="20.25" style="21" customWidth="1"/>
    <col min="11" max="11" width="14.75" style="19" customWidth="1"/>
    <col min="12" max="12" width="9" style="19"/>
    <col min="13" max="13" width="9" style="21" customWidth="1"/>
    <col min="14" max="14" width="46.625" style="19" bestFit="1" customWidth="1"/>
    <col min="15" max="15" width="14.375" style="19" customWidth="1"/>
    <col min="16" max="16" width="9" style="19" customWidth="1"/>
    <col min="17" max="18" width="15.25" style="41" customWidth="1"/>
    <col min="19" max="19" width="13" style="41" customWidth="1"/>
    <col min="20" max="20" width="9" style="19" customWidth="1"/>
    <col min="21" max="16384" width="9" style="19"/>
  </cols>
  <sheetData>
    <row r="1" spans="1:20" ht="33.75" customHeight="1">
      <c r="A1" s="195" t="s">
        <v>381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20" s="28" customFormat="1" ht="27" customHeight="1">
      <c r="A2" s="4" t="s">
        <v>5</v>
      </c>
      <c r="B2" s="4" t="s">
        <v>7</v>
      </c>
      <c r="C2" s="4" t="s">
        <v>4</v>
      </c>
      <c r="D2" s="4" t="s">
        <v>8</v>
      </c>
      <c r="E2" s="4" t="s">
        <v>3</v>
      </c>
      <c r="F2" s="4" t="s">
        <v>9</v>
      </c>
      <c r="G2" s="11" t="s">
        <v>2</v>
      </c>
      <c r="H2" s="4" t="s">
        <v>10</v>
      </c>
      <c r="I2" s="4" t="s">
        <v>11</v>
      </c>
      <c r="J2" s="103" t="s">
        <v>380</v>
      </c>
      <c r="K2" s="4" t="s">
        <v>1</v>
      </c>
      <c r="L2" s="28" t="s">
        <v>26</v>
      </c>
      <c r="M2" s="29" t="s">
        <v>271</v>
      </c>
      <c r="N2" s="19" t="s">
        <v>272</v>
      </c>
      <c r="O2" s="28" t="s">
        <v>273</v>
      </c>
      <c r="P2" s="28" t="s">
        <v>274</v>
      </c>
      <c r="Q2" s="43" t="s">
        <v>342</v>
      </c>
      <c r="R2" s="43" t="s">
        <v>378</v>
      </c>
      <c r="S2" s="43" t="s">
        <v>379</v>
      </c>
      <c r="T2" s="28" t="s">
        <v>271</v>
      </c>
    </row>
    <row r="3" spans="1:20" ht="27.75" customHeight="1">
      <c r="A3" s="17">
        <v>1</v>
      </c>
      <c r="B3" s="14" t="s">
        <v>40</v>
      </c>
      <c r="C3" s="13" t="s">
        <v>91</v>
      </c>
      <c r="D3" s="1" t="s">
        <v>15</v>
      </c>
      <c r="E3" s="7">
        <v>100000</v>
      </c>
      <c r="F3" s="6">
        <v>3</v>
      </c>
      <c r="G3" s="12">
        <f>E3*F3</f>
        <v>300000</v>
      </c>
      <c r="H3" s="1" t="s">
        <v>255</v>
      </c>
      <c r="I3" s="1" t="s">
        <v>279</v>
      </c>
      <c r="J3" s="2">
        <v>121529</v>
      </c>
      <c r="K3" s="3">
        <f>300000-55482-(-4155)-121529</f>
        <v>127144</v>
      </c>
      <c r="L3" s="93" t="s">
        <v>350</v>
      </c>
      <c r="M3" s="31" t="s">
        <v>391</v>
      </c>
      <c r="N3" s="78" t="s">
        <v>333</v>
      </c>
      <c r="O3" s="19" t="s">
        <v>101</v>
      </c>
      <c r="P3" s="19" t="s">
        <v>246</v>
      </c>
      <c r="Q3" s="41">
        <v>248673</v>
      </c>
      <c r="R3" s="41">
        <v>115742</v>
      </c>
      <c r="S3" s="41">
        <f>Q3-R3</f>
        <v>132931</v>
      </c>
      <c r="T3" s="19" t="str">
        <f>IF(K3=S3,"O","X")</f>
        <v>X</v>
      </c>
    </row>
    <row r="4" spans="1:20" ht="27.75" customHeight="1">
      <c r="A4" s="17">
        <v>2</v>
      </c>
      <c r="B4" s="14" t="s">
        <v>40</v>
      </c>
      <c r="C4" s="13" t="s">
        <v>275</v>
      </c>
      <c r="D4" s="1" t="s">
        <v>24</v>
      </c>
      <c r="E4" s="7">
        <v>300000</v>
      </c>
      <c r="F4" s="6">
        <v>1</v>
      </c>
      <c r="G4" s="12">
        <f t="shared" ref="G4:G76" si="0">E4*F4</f>
        <v>300000</v>
      </c>
      <c r="H4" s="87" t="s">
        <v>279</v>
      </c>
      <c r="I4" s="1" t="s">
        <v>300</v>
      </c>
      <c r="J4" s="2">
        <f>18900+190846</f>
        <v>209746</v>
      </c>
      <c r="K4" s="3">
        <f>300000-183901-135659+19560+300000-209746</f>
        <v>90254</v>
      </c>
      <c r="L4" s="97" t="s">
        <v>370</v>
      </c>
      <c r="M4" s="31" t="s">
        <v>402</v>
      </c>
      <c r="N4" s="97" t="s">
        <v>371</v>
      </c>
      <c r="O4" s="19" t="s">
        <v>179</v>
      </c>
      <c r="P4" s="19" t="s">
        <v>247</v>
      </c>
      <c r="Q4" s="41">
        <v>300000</v>
      </c>
      <c r="R4" s="41">
        <v>199758</v>
      </c>
      <c r="S4" s="41">
        <f t="shared" ref="S4:S67" si="1">Q4-R4</f>
        <v>100242</v>
      </c>
      <c r="T4" s="19" t="str">
        <f t="shared" ref="T4:T67" si="2">IF(K4=S4,"O","X")</f>
        <v>X</v>
      </c>
    </row>
    <row r="5" spans="1:20" ht="27.75" customHeight="1">
      <c r="A5" s="17">
        <v>3</v>
      </c>
      <c r="B5" s="18" t="s">
        <v>44</v>
      </c>
      <c r="C5" s="8" t="s">
        <v>230</v>
      </c>
      <c r="D5" s="1" t="s">
        <v>24</v>
      </c>
      <c r="E5" s="7">
        <v>150000</v>
      </c>
      <c r="F5" s="6">
        <v>6</v>
      </c>
      <c r="G5" s="12">
        <f t="shared" si="0"/>
        <v>900000</v>
      </c>
      <c r="H5" s="106" t="s">
        <v>292</v>
      </c>
      <c r="I5" s="106" t="s">
        <v>390</v>
      </c>
      <c r="J5" s="2">
        <v>49010</v>
      </c>
      <c r="K5" s="3">
        <f>900000+128-30357-42637-32809-54163-40336-70692-80277-67994-120766-41934-50426-57745-19504-23134-80436-41158-17460-8820-1925-49010+31455+900000</f>
        <v>900000</v>
      </c>
      <c r="L5" s="105" t="s">
        <v>389</v>
      </c>
      <c r="M5" s="31" t="s">
        <v>391</v>
      </c>
      <c r="N5" s="104" t="s">
        <v>388</v>
      </c>
      <c r="O5" s="19" t="s">
        <v>102</v>
      </c>
      <c r="P5" s="19" t="s">
        <v>246</v>
      </c>
      <c r="Q5" s="41">
        <v>17555</v>
      </c>
      <c r="R5" s="41">
        <v>46676</v>
      </c>
      <c r="S5" s="41">
        <f t="shared" si="1"/>
        <v>-29121</v>
      </c>
      <c r="T5" s="19" t="str">
        <f t="shared" si="2"/>
        <v>X</v>
      </c>
    </row>
    <row r="6" spans="1:20" ht="27.75" customHeight="1">
      <c r="A6" s="17">
        <v>4</v>
      </c>
      <c r="B6" s="14" t="s">
        <v>40</v>
      </c>
      <c r="C6" s="13" t="s">
        <v>319</v>
      </c>
      <c r="D6" s="1" t="s">
        <v>24</v>
      </c>
      <c r="E6" s="7">
        <v>100000</v>
      </c>
      <c r="F6" s="6">
        <v>3</v>
      </c>
      <c r="G6" s="12">
        <f t="shared" si="0"/>
        <v>300000</v>
      </c>
      <c r="H6" s="1" t="s">
        <v>74</v>
      </c>
      <c r="I6" s="1" t="s">
        <v>88</v>
      </c>
      <c r="J6" s="2">
        <f>12669-607</f>
        <v>12062</v>
      </c>
      <c r="K6" s="3">
        <f>491+5116-5607+300000-(-2982)-22961-72363-28525-(-1184)-66700-60082-18086-J6</f>
        <v>23387</v>
      </c>
      <c r="M6" s="31" t="s">
        <v>402</v>
      </c>
      <c r="N6" s="19" t="s">
        <v>194</v>
      </c>
      <c r="O6" s="19" t="s">
        <v>135</v>
      </c>
      <c r="P6" s="19" t="s">
        <v>247</v>
      </c>
      <c r="Q6" s="41">
        <v>35449</v>
      </c>
      <c r="R6" s="41">
        <v>12065</v>
      </c>
      <c r="S6" s="41">
        <f t="shared" si="1"/>
        <v>23384</v>
      </c>
      <c r="T6" s="19" t="str">
        <f t="shared" si="2"/>
        <v>X</v>
      </c>
    </row>
    <row r="7" spans="1:20" ht="27.75" customHeight="1">
      <c r="A7" s="17">
        <v>5</v>
      </c>
      <c r="B7" s="30" t="s">
        <v>21</v>
      </c>
      <c r="C7" s="25" t="s">
        <v>320</v>
      </c>
      <c r="D7" s="1" t="s">
        <v>24</v>
      </c>
      <c r="E7" s="7">
        <v>100000</v>
      </c>
      <c r="F7" s="6">
        <v>3</v>
      </c>
      <c r="G7" s="12">
        <f t="shared" si="0"/>
        <v>300000</v>
      </c>
      <c r="H7" s="86" t="s">
        <v>70</v>
      </c>
      <c r="I7" s="86" t="s">
        <v>69</v>
      </c>
      <c r="J7" s="2">
        <v>0</v>
      </c>
      <c r="K7" s="3">
        <f>300000-110880-13703+275-983-2667-76360-1515-284-(-402)-0-9293-0-336-J7</f>
        <v>84656</v>
      </c>
      <c r="M7" s="31">
        <v>0</v>
      </c>
      <c r="O7" s="19" t="s">
        <v>124</v>
      </c>
      <c r="P7" s="19" t="s">
        <v>248</v>
      </c>
      <c r="Q7" s="41">
        <v>84656</v>
      </c>
      <c r="R7" s="41">
        <v>0</v>
      </c>
      <c r="S7" s="41">
        <f t="shared" si="1"/>
        <v>84656</v>
      </c>
      <c r="T7" s="19" t="str">
        <f t="shared" si="2"/>
        <v>O</v>
      </c>
    </row>
    <row r="8" spans="1:20" ht="27.75" customHeight="1">
      <c r="A8" s="17">
        <v>6</v>
      </c>
      <c r="B8" s="30" t="s">
        <v>21</v>
      </c>
      <c r="C8" s="25" t="s">
        <v>321</v>
      </c>
      <c r="D8" s="1" t="s">
        <v>24</v>
      </c>
      <c r="E8" s="7">
        <v>300000</v>
      </c>
      <c r="F8" s="6">
        <v>1</v>
      </c>
      <c r="G8" s="12">
        <f t="shared" si="0"/>
        <v>300000</v>
      </c>
      <c r="H8" s="86" t="s">
        <v>69</v>
      </c>
      <c r="I8" s="86" t="s">
        <v>384</v>
      </c>
      <c r="J8" s="2">
        <v>0</v>
      </c>
      <c r="K8" s="3">
        <f>12197+300000-6426-118879-0-(-13440)-7497-95-J8</f>
        <v>192740</v>
      </c>
      <c r="M8" s="31">
        <v>0</v>
      </c>
      <c r="N8" s="19" t="s">
        <v>99</v>
      </c>
      <c r="O8" s="19" t="s">
        <v>103</v>
      </c>
      <c r="P8" s="19" t="s">
        <v>249</v>
      </c>
      <c r="Q8" s="41">
        <v>192740</v>
      </c>
      <c r="R8" s="41">
        <v>0</v>
      </c>
      <c r="S8" s="41">
        <f t="shared" si="1"/>
        <v>192740</v>
      </c>
      <c r="T8" s="19" t="str">
        <f t="shared" si="2"/>
        <v>O</v>
      </c>
    </row>
    <row r="9" spans="1:20" ht="27.75" customHeight="1">
      <c r="A9" s="17">
        <v>7</v>
      </c>
      <c r="B9" s="14" t="s">
        <v>40</v>
      </c>
      <c r="C9" s="13" t="s">
        <v>282</v>
      </c>
      <c r="D9" s="1" t="s">
        <v>24</v>
      </c>
      <c r="E9" s="7">
        <v>100000</v>
      </c>
      <c r="F9" s="6">
        <v>3</v>
      </c>
      <c r="G9" s="12">
        <f t="shared" si="0"/>
        <v>300000</v>
      </c>
      <c r="H9" s="1" t="s">
        <v>216</v>
      </c>
      <c r="I9" s="1" t="s">
        <v>258</v>
      </c>
      <c r="J9" s="2">
        <v>47071</v>
      </c>
      <c r="K9" s="3">
        <f>336528 -136528-38813-51854-26755-47071</f>
        <v>35507</v>
      </c>
      <c r="L9" s="93" t="s">
        <v>345</v>
      </c>
      <c r="M9" s="31" t="s">
        <v>402</v>
      </c>
      <c r="N9" s="19" t="s">
        <v>211</v>
      </c>
      <c r="O9" s="19" t="s">
        <v>104</v>
      </c>
      <c r="P9" s="19" t="s">
        <v>248</v>
      </c>
      <c r="Q9" s="41">
        <v>82578</v>
      </c>
      <c r="R9" s="41">
        <v>44830</v>
      </c>
      <c r="S9" s="41">
        <f t="shared" si="1"/>
        <v>37748</v>
      </c>
      <c r="T9" s="19" t="str">
        <f t="shared" si="2"/>
        <v>X</v>
      </c>
    </row>
    <row r="10" spans="1:20" ht="27.75" customHeight="1">
      <c r="A10" s="17">
        <v>8</v>
      </c>
      <c r="B10" s="14" t="s">
        <v>40</v>
      </c>
      <c r="C10" s="13" t="s">
        <v>199</v>
      </c>
      <c r="D10" s="1" t="s">
        <v>24</v>
      </c>
      <c r="E10" s="7">
        <v>100000</v>
      </c>
      <c r="F10" s="6">
        <v>3</v>
      </c>
      <c r="G10" s="12">
        <f t="shared" si="0"/>
        <v>300000</v>
      </c>
      <c r="H10" s="1" t="s">
        <v>202</v>
      </c>
      <c r="I10" s="1" t="s">
        <v>255</v>
      </c>
      <c r="J10" s="2">
        <v>44344</v>
      </c>
      <c r="K10" s="3">
        <f>300000-98603-101048-43785-80651+80651-17634-72429+72429-119555-181321+53312+8634+300000-13241-21950-44344</f>
        <v>20465</v>
      </c>
      <c r="M10" s="31" t="s">
        <v>387</v>
      </c>
      <c r="N10" s="50" t="s">
        <v>290</v>
      </c>
      <c r="O10" s="19" t="s">
        <v>105</v>
      </c>
      <c r="P10" s="19" t="s">
        <v>249</v>
      </c>
      <c r="Q10" s="41">
        <v>64809</v>
      </c>
      <c r="R10" s="41">
        <v>76552</v>
      </c>
      <c r="S10" s="41">
        <f t="shared" si="1"/>
        <v>-11743</v>
      </c>
      <c r="T10" s="19" t="str">
        <f t="shared" si="2"/>
        <v>X</v>
      </c>
    </row>
    <row r="11" spans="1:20" ht="27.75" customHeight="1">
      <c r="A11" s="17">
        <v>9</v>
      </c>
      <c r="B11" s="14" t="s">
        <v>17</v>
      </c>
      <c r="C11" s="13" t="s">
        <v>96</v>
      </c>
      <c r="D11" s="1" t="s">
        <v>25</v>
      </c>
      <c r="E11" s="7">
        <v>50000</v>
      </c>
      <c r="F11" s="6">
        <v>6</v>
      </c>
      <c r="G11" s="12">
        <f t="shared" si="0"/>
        <v>300000</v>
      </c>
      <c r="H11" s="87" t="s">
        <v>156</v>
      </c>
      <c r="I11" s="87" t="s">
        <v>88</v>
      </c>
      <c r="J11" s="2">
        <v>623</v>
      </c>
      <c r="K11" s="3">
        <f>78073+300000-116550-2783-4631-24665-3654-20626-33978-56353-31566-7623-623</f>
        <v>75021</v>
      </c>
      <c r="M11" s="31" t="s">
        <v>433</v>
      </c>
      <c r="N11" s="19" t="s">
        <v>157</v>
      </c>
      <c r="O11" s="19" t="s">
        <v>154</v>
      </c>
      <c r="P11" s="19" t="s">
        <v>249</v>
      </c>
      <c r="Q11" s="41">
        <v>75644</v>
      </c>
      <c r="R11" s="41">
        <v>593</v>
      </c>
      <c r="S11" s="41">
        <f t="shared" si="1"/>
        <v>75051</v>
      </c>
      <c r="T11" s="19" t="str">
        <f t="shared" si="2"/>
        <v>X</v>
      </c>
    </row>
    <row r="12" spans="1:20" ht="27.75" customHeight="1">
      <c r="A12" s="17">
        <v>10</v>
      </c>
      <c r="B12" s="14" t="s">
        <v>40</v>
      </c>
      <c r="C12" s="13" t="s">
        <v>92</v>
      </c>
      <c r="D12" s="1" t="s">
        <v>25</v>
      </c>
      <c r="E12" s="7">
        <v>50000</v>
      </c>
      <c r="F12" s="6">
        <v>6</v>
      </c>
      <c r="G12" s="12">
        <f t="shared" si="0"/>
        <v>300000</v>
      </c>
      <c r="H12" s="1" t="s">
        <v>74</v>
      </c>
      <c r="I12" s="1" t="s">
        <v>218</v>
      </c>
      <c r="J12" s="2">
        <v>1033</v>
      </c>
      <c r="K12" s="3">
        <f>62665+325825-138490-(-1302)-3503-48038-2835-13986-10080-1033</f>
        <v>171827</v>
      </c>
      <c r="M12" s="31" t="s">
        <v>391</v>
      </c>
      <c r="N12" s="19" t="s">
        <v>209</v>
      </c>
      <c r="O12" s="19" t="s">
        <v>106</v>
      </c>
      <c r="P12" s="19" t="s">
        <v>249</v>
      </c>
      <c r="Q12" s="41">
        <v>172860</v>
      </c>
      <c r="R12" s="41">
        <v>984</v>
      </c>
      <c r="S12" s="41">
        <f t="shared" si="1"/>
        <v>171876</v>
      </c>
      <c r="T12" s="19" t="str">
        <f t="shared" si="2"/>
        <v>X</v>
      </c>
    </row>
    <row r="13" spans="1:20" ht="27.75" customHeight="1">
      <c r="A13" s="17">
        <v>11</v>
      </c>
      <c r="B13" s="18" t="s">
        <v>44</v>
      </c>
      <c r="C13" s="8" t="s">
        <v>94</v>
      </c>
      <c r="D13" s="1" t="s">
        <v>25</v>
      </c>
      <c r="E13" s="7">
        <v>50000</v>
      </c>
      <c r="F13" s="6">
        <v>6</v>
      </c>
      <c r="G13" s="12">
        <f t="shared" si="0"/>
        <v>300000</v>
      </c>
      <c r="H13" s="1" t="s">
        <v>50</v>
      </c>
      <c r="I13" s="1" t="s">
        <v>67</v>
      </c>
      <c r="J13" s="2">
        <v>17204</v>
      </c>
      <c r="K13" s="3">
        <v>0</v>
      </c>
      <c r="L13" s="94" t="s">
        <v>26</v>
      </c>
      <c r="M13" s="31" t="s">
        <v>433</v>
      </c>
      <c r="O13" s="19" t="s">
        <v>153</v>
      </c>
      <c r="P13" s="19" t="s">
        <v>249</v>
      </c>
      <c r="Q13" s="41">
        <v>0</v>
      </c>
      <c r="R13" s="41">
        <v>23780</v>
      </c>
      <c r="S13" s="41">
        <f t="shared" si="1"/>
        <v>-23780</v>
      </c>
      <c r="T13" s="19" t="str">
        <f t="shared" si="2"/>
        <v>X</v>
      </c>
    </row>
    <row r="14" spans="1:20" ht="27.75" customHeight="1">
      <c r="A14" s="17">
        <v>12</v>
      </c>
      <c r="B14" s="14" t="s">
        <v>40</v>
      </c>
      <c r="C14" s="13" t="s">
        <v>208</v>
      </c>
      <c r="D14" s="1" t="s">
        <v>15</v>
      </c>
      <c r="E14" s="7">
        <v>100000</v>
      </c>
      <c r="F14" s="6">
        <v>4</v>
      </c>
      <c r="G14" s="12">
        <f t="shared" si="0"/>
        <v>400000</v>
      </c>
      <c r="H14" s="1" t="s">
        <v>215</v>
      </c>
      <c r="I14" s="1" t="s">
        <v>216</v>
      </c>
      <c r="J14" s="2">
        <v>6300</v>
      </c>
      <c r="K14" s="3">
        <f>40795+400000-59317-2730-3-(-337)-66864-7508-12075-0-15939-6300</f>
        <v>270396</v>
      </c>
      <c r="M14" s="31" t="s">
        <v>391</v>
      </c>
      <c r="N14" s="19" t="s">
        <v>213</v>
      </c>
      <c r="O14" s="19" t="s">
        <v>149</v>
      </c>
      <c r="P14" s="19" t="s">
        <v>246</v>
      </c>
      <c r="Q14" s="41">
        <v>276696</v>
      </c>
      <c r="R14" s="41">
        <v>6000</v>
      </c>
      <c r="S14" s="41">
        <f t="shared" si="1"/>
        <v>270696</v>
      </c>
      <c r="T14" s="19" t="str">
        <f t="shared" si="2"/>
        <v>X</v>
      </c>
    </row>
    <row r="15" spans="1:20" ht="27.75" customHeight="1">
      <c r="A15" s="17">
        <v>13</v>
      </c>
      <c r="B15" s="14" t="s">
        <v>40</v>
      </c>
      <c r="C15" s="13" t="s">
        <v>322</v>
      </c>
      <c r="D15" s="1" t="s">
        <v>24</v>
      </c>
      <c r="E15" s="7">
        <v>100000</v>
      </c>
      <c r="F15" s="6">
        <v>2</v>
      </c>
      <c r="G15" s="12">
        <f t="shared" si="0"/>
        <v>200000</v>
      </c>
      <c r="H15" s="1" t="s">
        <v>201</v>
      </c>
      <c r="I15" s="1" t="s">
        <v>217</v>
      </c>
      <c r="J15" s="2">
        <v>0</v>
      </c>
      <c r="K15" s="3">
        <f>-(-7344)+200000-9702-0-0-J15</f>
        <v>197642</v>
      </c>
      <c r="M15" s="31">
        <v>0</v>
      </c>
      <c r="N15" s="19" t="s">
        <v>214</v>
      </c>
      <c r="O15" s="19" t="s">
        <v>152</v>
      </c>
      <c r="P15" s="19" t="s">
        <v>246</v>
      </c>
      <c r="Q15" s="41">
        <v>197642</v>
      </c>
      <c r="R15" s="41">
        <v>0</v>
      </c>
      <c r="S15" s="41">
        <f t="shared" si="1"/>
        <v>197642</v>
      </c>
      <c r="T15" s="19" t="str">
        <f t="shared" si="2"/>
        <v>O</v>
      </c>
    </row>
    <row r="16" spans="1:20" ht="27.75" customHeight="1">
      <c r="A16" s="17">
        <v>14</v>
      </c>
      <c r="B16" s="14" t="s">
        <v>40</v>
      </c>
      <c r="C16" s="13" t="s">
        <v>180</v>
      </c>
      <c r="D16" s="1" t="s">
        <v>25</v>
      </c>
      <c r="E16" s="7">
        <v>50000</v>
      </c>
      <c r="F16" s="6">
        <v>6</v>
      </c>
      <c r="G16" s="12">
        <f t="shared" si="0"/>
        <v>300000</v>
      </c>
      <c r="H16" s="1" t="s">
        <v>74</v>
      </c>
      <c r="I16" s="1" t="s">
        <v>218</v>
      </c>
      <c r="J16" s="2">
        <v>11933</v>
      </c>
      <c r="K16" s="3">
        <f>300000-19677-24570-5114-5027-17277-0-52504-11933</f>
        <v>163898</v>
      </c>
      <c r="M16" s="31" t="s">
        <v>402</v>
      </c>
      <c r="N16" s="19" t="s">
        <v>220</v>
      </c>
      <c r="O16" s="19" t="s">
        <v>137</v>
      </c>
      <c r="P16" s="19" t="s">
        <v>247</v>
      </c>
      <c r="Q16" s="41">
        <v>175831</v>
      </c>
      <c r="R16" s="41">
        <v>11365</v>
      </c>
      <c r="S16" s="41">
        <f t="shared" si="1"/>
        <v>164466</v>
      </c>
      <c r="T16" s="19" t="str">
        <f t="shared" si="2"/>
        <v>X</v>
      </c>
    </row>
    <row r="17" spans="1:20" ht="27.75" customHeight="1">
      <c r="A17" s="17">
        <v>15</v>
      </c>
      <c r="B17" s="18" t="s">
        <v>44</v>
      </c>
      <c r="C17" s="8" t="s">
        <v>259</v>
      </c>
      <c r="D17" s="1" t="s">
        <v>25</v>
      </c>
      <c r="E17" s="7">
        <v>50000</v>
      </c>
      <c r="F17" s="6">
        <v>6</v>
      </c>
      <c r="G17" s="12">
        <f t="shared" si="0"/>
        <v>300000</v>
      </c>
      <c r="H17" s="106" t="s">
        <v>279</v>
      </c>
      <c r="I17" s="106" t="s">
        <v>399</v>
      </c>
      <c r="J17" s="2">
        <v>46111</v>
      </c>
      <c r="K17" s="3">
        <f>5398+300000-41267-20021-34671-37918-72589-84246+300000-46111</f>
        <v>268575</v>
      </c>
      <c r="L17" s="105" t="s">
        <v>394</v>
      </c>
      <c r="M17" s="31" t="s">
        <v>400</v>
      </c>
      <c r="N17" s="111" t="s">
        <v>401</v>
      </c>
      <c r="O17" s="19" t="s">
        <v>151</v>
      </c>
      <c r="P17" s="19" t="s">
        <v>247</v>
      </c>
      <c r="Q17" s="41">
        <v>14686</v>
      </c>
      <c r="R17" s="41">
        <v>43916</v>
      </c>
      <c r="S17" s="41">
        <f t="shared" si="1"/>
        <v>-29230</v>
      </c>
      <c r="T17" s="19" t="str">
        <f t="shared" si="2"/>
        <v>X</v>
      </c>
    </row>
    <row r="18" spans="1:20" ht="27.75" customHeight="1">
      <c r="A18" s="17">
        <v>16</v>
      </c>
      <c r="B18" s="14" t="s">
        <v>40</v>
      </c>
      <c r="C18" s="13" t="s">
        <v>181</v>
      </c>
      <c r="D18" s="1" t="s">
        <v>24</v>
      </c>
      <c r="E18" s="7">
        <v>100000</v>
      </c>
      <c r="F18" s="6">
        <v>3</v>
      </c>
      <c r="G18" s="12">
        <f t="shared" si="0"/>
        <v>300000</v>
      </c>
      <c r="H18" s="1" t="s">
        <v>279</v>
      </c>
      <c r="I18" s="1" t="s">
        <v>300</v>
      </c>
      <c r="J18" s="2">
        <f>78468+61205</f>
        <v>139673</v>
      </c>
      <c r="K18" s="3">
        <f>26337-39367+300000-139673+13030</f>
        <v>160327</v>
      </c>
      <c r="L18" s="107" t="s">
        <v>375</v>
      </c>
      <c r="M18" s="31" t="s">
        <v>402</v>
      </c>
      <c r="N18" s="48" t="s">
        <v>288</v>
      </c>
      <c r="O18" s="19" t="s">
        <v>155</v>
      </c>
      <c r="P18" s="19" t="s">
        <v>248</v>
      </c>
      <c r="Q18" s="41">
        <v>286970</v>
      </c>
      <c r="R18" s="41">
        <v>74731</v>
      </c>
      <c r="S18" s="41">
        <f t="shared" si="1"/>
        <v>212239</v>
      </c>
      <c r="T18" s="19" t="str">
        <f t="shared" si="2"/>
        <v>X</v>
      </c>
    </row>
    <row r="19" spans="1:20" ht="27.75" customHeight="1">
      <c r="A19" s="17">
        <v>17</v>
      </c>
      <c r="B19" s="14" t="s">
        <v>17</v>
      </c>
      <c r="C19" s="13" t="s">
        <v>173</v>
      </c>
      <c r="D19" s="1" t="s">
        <v>25</v>
      </c>
      <c r="E19" s="7">
        <v>50000</v>
      </c>
      <c r="F19" s="6">
        <v>6</v>
      </c>
      <c r="G19" s="12">
        <f t="shared" si="0"/>
        <v>300000</v>
      </c>
      <c r="H19" s="87" t="s">
        <v>255</v>
      </c>
      <c r="I19" s="1" t="s">
        <v>269</v>
      </c>
      <c r="J19" s="2">
        <v>52281</v>
      </c>
      <c r="K19" s="3">
        <f>64639+300000-141919-27715-J19</f>
        <v>142724</v>
      </c>
      <c r="L19" s="93" t="s">
        <v>351</v>
      </c>
      <c r="M19" s="31" t="s">
        <v>391</v>
      </c>
      <c r="N19" s="83" t="s">
        <v>339</v>
      </c>
      <c r="O19" s="19" t="s">
        <v>107</v>
      </c>
      <c r="P19" s="19" t="s">
        <v>248</v>
      </c>
      <c r="Q19" s="41">
        <v>195005</v>
      </c>
      <c r="R19" s="41">
        <v>52281</v>
      </c>
      <c r="S19" s="41">
        <f t="shared" si="1"/>
        <v>142724</v>
      </c>
      <c r="T19" s="19" t="str">
        <f t="shared" si="2"/>
        <v>O</v>
      </c>
    </row>
    <row r="20" spans="1:20" ht="27.75" customHeight="1">
      <c r="A20" s="17">
        <v>18</v>
      </c>
      <c r="B20" s="18" t="s">
        <v>44</v>
      </c>
      <c r="C20" s="8" t="s">
        <v>182</v>
      </c>
      <c r="D20" s="1" t="s">
        <v>15</v>
      </c>
      <c r="E20" s="7">
        <v>100000</v>
      </c>
      <c r="F20" s="6">
        <v>3</v>
      </c>
      <c r="G20" s="12">
        <f t="shared" si="0"/>
        <v>300000</v>
      </c>
      <c r="H20" s="106" t="s">
        <v>292</v>
      </c>
      <c r="I20" s="106" t="s">
        <v>390</v>
      </c>
      <c r="J20" s="22">
        <v>94320</v>
      </c>
      <c r="K20" s="3">
        <f>300000-74979-156120-26206-94320+51625+600000</f>
        <v>600000</v>
      </c>
      <c r="L20" s="113" t="s">
        <v>404</v>
      </c>
      <c r="M20" s="31" t="s">
        <v>402</v>
      </c>
      <c r="N20" s="112" t="s">
        <v>403</v>
      </c>
      <c r="O20" s="19" t="s">
        <v>126</v>
      </c>
      <c r="P20" s="34" t="s">
        <v>248</v>
      </c>
      <c r="Q20" s="41">
        <v>42695</v>
      </c>
      <c r="R20" s="41">
        <v>89829</v>
      </c>
      <c r="S20" s="41">
        <f t="shared" si="1"/>
        <v>-47134</v>
      </c>
      <c r="T20" s="19" t="str">
        <f t="shared" si="2"/>
        <v>X</v>
      </c>
    </row>
    <row r="21" spans="1:20" ht="27.75" customHeight="1">
      <c r="A21" s="17">
        <v>19</v>
      </c>
      <c r="B21" s="14" t="s">
        <v>17</v>
      </c>
      <c r="C21" s="13" t="s">
        <v>306</v>
      </c>
      <c r="D21" s="1" t="s">
        <v>24</v>
      </c>
      <c r="E21" s="7">
        <v>100000</v>
      </c>
      <c r="F21" s="6">
        <v>1</v>
      </c>
      <c r="G21" s="12">
        <f t="shared" si="0"/>
        <v>100000</v>
      </c>
      <c r="H21" s="1" t="s">
        <v>307</v>
      </c>
      <c r="I21" s="1" t="s">
        <v>385</v>
      </c>
      <c r="J21" s="22">
        <v>15030</v>
      </c>
      <c r="K21" s="3">
        <f>100000-18560-7812-15030</f>
        <v>58598</v>
      </c>
      <c r="L21" s="93" t="s">
        <v>347</v>
      </c>
      <c r="M21" s="31" t="s">
        <v>391</v>
      </c>
      <c r="N21" s="64" t="s">
        <v>308</v>
      </c>
      <c r="O21" s="66" t="s">
        <v>313</v>
      </c>
      <c r="P21" s="68" t="s">
        <v>314</v>
      </c>
      <c r="Q21" s="41">
        <v>73628</v>
      </c>
      <c r="R21" s="41">
        <v>14314</v>
      </c>
      <c r="S21" s="41">
        <f t="shared" si="1"/>
        <v>59314</v>
      </c>
      <c r="T21" s="19" t="str">
        <f t="shared" si="2"/>
        <v>X</v>
      </c>
    </row>
    <row r="22" spans="1:20" ht="27.75" customHeight="1">
      <c r="A22" s="17">
        <v>20</v>
      </c>
      <c r="B22" s="14" t="s">
        <v>17</v>
      </c>
      <c r="C22" s="13" t="s">
        <v>231</v>
      </c>
      <c r="D22" s="1" t="s">
        <v>24</v>
      </c>
      <c r="E22" s="7">
        <v>100000</v>
      </c>
      <c r="F22" s="6">
        <v>3</v>
      </c>
      <c r="G22" s="12">
        <f t="shared" si="0"/>
        <v>300000</v>
      </c>
      <c r="H22" s="1" t="s">
        <v>88</v>
      </c>
      <c r="I22" s="1" t="s">
        <v>202</v>
      </c>
      <c r="J22" s="2">
        <v>32133</v>
      </c>
      <c r="K22" s="3">
        <f>65156+300933-166089-32744-22447-(-1608)-2305-4599-32133</f>
        <v>107380</v>
      </c>
      <c r="L22" s="19" t="s">
        <v>261</v>
      </c>
      <c r="M22" s="31" t="s">
        <v>386</v>
      </c>
      <c r="N22" s="20" t="s">
        <v>262</v>
      </c>
      <c r="O22" s="19" t="s">
        <v>166</v>
      </c>
      <c r="P22" s="19" t="s">
        <v>248</v>
      </c>
      <c r="Q22" s="41">
        <v>139513</v>
      </c>
      <c r="R22" s="41">
        <v>30603</v>
      </c>
      <c r="S22" s="41">
        <f t="shared" si="1"/>
        <v>108910</v>
      </c>
      <c r="T22" s="19" t="str">
        <f t="shared" si="2"/>
        <v>X</v>
      </c>
    </row>
    <row r="23" spans="1:20" ht="27.75" customHeight="1">
      <c r="A23" s="17">
        <v>21</v>
      </c>
      <c r="B23" s="14" t="s">
        <v>17</v>
      </c>
      <c r="C23" s="13" t="s">
        <v>232</v>
      </c>
      <c r="D23" s="1" t="s">
        <v>15</v>
      </c>
      <c r="E23" s="7">
        <v>200000</v>
      </c>
      <c r="F23" s="6">
        <v>6</v>
      </c>
      <c r="G23" s="12">
        <f>E23*F23</f>
        <v>1200000</v>
      </c>
      <c r="H23" s="1" t="s">
        <v>202</v>
      </c>
      <c r="I23" s="1" t="s">
        <v>292</v>
      </c>
      <c r="J23" s="2">
        <v>49980</v>
      </c>
      <c r="K23" s="3">
        <f>56244+1200000-112686-142580-133157-221157-92706-91535-174596-106935-76098-26028+45300+1200000-190179-86222-206439-101685-289427-102309-183466-50084-85486-219109-241221+1200000-133770-68149-49980</f>
        <v>516540</v>
      </c>
      <c r="L23" s="50" t="s">
        <v>291</v>
      </c>
      <c r="M23" s="31" t="s">
        <v>391</v>
      </c>
      <c r="N23" s="51" t="s">
        <v>293</v>
      </c>
      <c r="O23" s="19" t="s">
        <v>119</v>
      </c>
      <c r="P23" s="19" t="s">
        <v>246</v>
      </c>
      <c r="Q23" s="41">
        <v>566520</v>
      </c>
      <c r="R23" s="41">
        <v>47600</v>
      </c>
      <c r="S23" s="41">
        <f t="shared" si="1"/>
        <v>518920</v>
      </c>
      <c r="T23" s="19" t="str">
        <f t="shared" si="2"/>
        <v>X</v>
      </c>
    </row>
    <row r="24" spans="1:20" ht="27.75" customHeight="1">
      <c r="A24" s="17">
        <v>22</v>
      </c>
      <c r="B24" s="18" t="s">
        <v>44</v>
      </c>
      <c r="C24" s="8" t="s">
        <v>97</v>
      </c>
      <c r="D24" s="1" t="s">
        <v>24</v>
      </c>
      <c r="E24" s="7">
        <v>100000</v>
      </c>
      <c r="F24" s="6">
        <v>3</v>
      </c>
      <c r="G24" s="12">
        <f t="shared" si="0"/>
        <v>300000</v>
      </c>
      <c r="H24" s="127" t="s">
        <v>292</v>
      </c>
      <c r="I24" s="127" t="s">
        <v>437</v>
      </c>
      <c r="J24" s="2">
        <v>231882</v>
      </c>
      <c r="K24" s="3">
        <f>300000-154207-109670-89783+53660+300000-(-1254)-40223-82946-(-7053)-50973-(-2420)-2090-231882+97387+300000</f>
        <v>300000</v>
      </c>
      <c r="L24" s="128" t="s">
        <v>435</v>
      </c>
      <c r="M24" s="31" t="s">
        <v>433</v>
      </c>
      <c r="N24" s="130" t="s">
        <v>436</v>
      </c>
      <c r="O24" s="19" t="s">
        <v>150</v>
      </c>
      <c r="P24" s="19" t="s">
        <v>246</v>
      </c>
      <c r="Q24" s="41">
        <v>134495</v>
      </c>
      <c r="R24" s="41">
        <v>224140</v>
      </c>
      <c r="S24" s="41">
        <f t="shared" si="1"/>
        <v>-89645</v>
      </c>
      <c r="T24" s="19" t="str">
        <f t="shared" si="2"/>
        <v>X</v>
      </c>
    </row>
    <row r="25" spans="1:20" ht="27.75" customHeight="1">
      <c r="A25" s="17">
        <v>23</v>
      </c>
      <c r="B25" s="14" t="s">
        <v>17</v>
      </c>
      <c r="C25" s="13" t="s">
        <v>233</v>
      </c>
      <c r="D25" s="1" t="s">
        <v>24</v>
      </c>
      <c r="E25" s="7">
        <v>100000</v>
      </c>
      <c r="F25" s="6">
        <v>3</v>
      </c>
      <c r="G25" s="12">
        <f t="shared" si="0"/>
        <v>300000</v>
      </c>
      <c r="H25" s="87" t="s">
        <v>255</v>
      </c>
      <c r="I25" s="1" t="s">
        <v>279</v>
      </c>
      <c r="J25" s="2">
        <v>41192</v>
      </c>
      <c r="K25" s="3">
        <f>300000-91585-49449-J25</f>
        <v>117774</v>
      </c>
      <c r="L25" s="93" t="s">
        <v>348</v>
      </c>
      <c r="M25" s="31" t="s">
        <v>386</v>
      </c>
      <c r="N25" s="81" t="s">
        <v>335</v>
      </c>
      <c r="O25" s="19" t="s">
        <v>108</v>
      </c>
      <c r="P25" s="19" t="s">
        <v>248</v>
      </c>
      <c r="Q25" s="41">
        <v>158966</v>
      </c>
      <c r="R25" s="41">
        <v>39230</v>
      </c>
      <c r="S25" s="41">
        <f t="shared" si="1"/>
        <v>119736</v>
      </c>
      <c r="T25" s="19" t="str">
        <f t="shared" si="2"/>
        <v>X</v>
      </c>
    </row>
    <row r="26" spans="1:20" ht="27.75" customHeight="1">
      <c r="A26" s="17">
        <v>24</v>
      </c>
      <c r="B26" s="14" t="s">
        <v>40</v>
      </c>
      <c r="C26" s="13" t="s">
        <v>183</v>
      </c>
      <c r="D26" s="1" t="s">
        <v>16</v>
      </c>
      <c r="E26" s="7">
        <v>50000</v>
      </c>
      <c r="F26" s="6">
        <v>6</v>
      </c>
      <c r="G26" s="12">
        <f t="shared" si="0"/>
        <v>300000</v>
      </c>
      <c r="H26" s="1" t="s">
        <v>224</v>
      </c>
      <c r="I26" s="1" t="s">
        <v>225</v>
      </c>
      <c r="J26" s="2">
        <v>0</v>
      </c>
      <c r="K26" s="3">
        <f>-6222+6222+300000-17616-11443-4599-4735-23895-15681-(-3024)-J26</f>
        <v>225055</v>
      </c>
      <c r="M26" s="31">
        <v>0</v>
      </c>
      <c r="N26" s="20" t="s">
        <v>223</v>
      </c>
      <c r="O26" s="19" t="s">
        <v>113</v>
      </c>
      <c r="P26" s="19" t="s">
        <v>248</v>
      </c>
      <c r="Q26" s="41">
        <v>225055</v>
      </c>
      <c r="R26" s="41">
        <v>0</v>
      </c>
      <c r="S26" s="41">
        <f t="shared" si="1"/>
        <v>225055</v>
      </c>
      <c r="T26" s="19" t="str">
        <f t="shared" si="2"/>
        <v>O</v>
      </c>
    </row>
    <row r="27" spans="1:20" ht="27.75" customHeight="1">
      <c r="A27" s="17">
        <v>25</v>
      </c>
      <c r="B27" s="30" t="s">
        <v>21</v>
      </c>
      <c r="C27" s="25" t="s">
        <v>234</v>
      </c>
      <c r="D27" s="1" t="s">
        <v>16</v>
      </c>
      <c r="E27" s="7">
        <v>50000</v>
      </c>
      <c r="F27" s="6">
        <v>6</v>
      </c>
      <c r="G27" s="12">
        <f t="shared" si="0"/>
        <v>300000</v>
      </c>
      <c r="H27" s="86" t="s">
        <v>70</v>
      </c>
      <c r="I27" s="86" t="s">
        <v>74</v>
      </c>
      <c r="J27" s="2">
        <v>9788</v>
      </c>
      <c r="K27" s="3">
        <f>5056+300000-50394-3494-5926+395-41815+542-5514-1050-18419-46691-6440-30655-8017-17203+1179+752-36814-19404-7261-11151+300000-2526-5941-23890+5433-62110-125276-(-1491)-10319-9330-31406-(-821)-714-1982-9788</f>
        <v>22139</v>
      </c>
      <c r="M27" s="31" t="s">
        <v>402</v>
      </c>
      <c r="O27" s="19" t="s">
        <v>134</v>
      </c>
      <c r="P27" s="19" t="s">
        <v>247</v>
      </c>
      <c r="Q27" s="41">
        <v>31927</v>
      </c>
      <c r="R27" s="41">
        <v>9322</v>
      </c>
      <c r="S27" s="41">
        <f t="shared" si="1"/>
        <v>22605</v>
      </c>
      <c r="T27" s="19" t="str">
        <f t="shared" si="2"/>
        <v>X</v>
      </c>
    </row>
    <row r="28" spans="1:20" ht="27.75" customHeight="1">
      <c r="A28" s="17">
        <v>26</v>
      </c>
      <c r="B28" s="18" t="s">
        <v>44</v>
      </c>
      <c r="C28" s="8" t="s">
        <v>184</v>
      </c>
      <c r="D28" s="1" t="s">
        <v>15</v>
      </c>
      <c r="E28" s="7">
        <v>100000</v>
      </c>
      <c r="F28" s="6">
        <v>6</v>
      </c>
      <c r="G28" s="12">
        <f t="shared" si="0"/>
        <v>600000</v>
      </c>
      <c r="H28" s="1" t="s">
        <v>255</v>
      </c>
      <c r="I28" s="1" t="s">
        <v>279</v>
      </c>
      <c r="J28" s="2">
        <v>165772</v>
      </c>
      <c r="K28" s="3">
        <f>300000-258857-9198-165772+133827</f>
        <v>0</v>
      </c>
      <c r="L28" s="94" t="s">
        <v>26</v>
      </c>
      <c r="M28" s="31" t="s">
        <v>433</v>
      </c>
      <c r="N28" s="61" t="s">
        <v>303</v>
      </c>
      <c r="O28" s="19" t="s">
        <v>118</v>
      </c>
      <c r="P28" s="19" t="s">
        <v>248</v>
      </c>
      <c r="Q28" s="41">
        <v>31945</v>
      </c>
      <c r="R28" s="41">
        <v>157879</v>
      </c>
      <c r="S28" s="41">
        <f t="shared" si="1"/>
        <v>-125934</v>
      </c>
      <c r="T28" s="19" t="str">
        <f t="shared" si="2"/>
        <v>X</v>
      </c>
    </row>
    <row r="29" spans="1:20" ht="27.75" customHeight="1">
      <c r="A29" s="17">
        <v>27</v>
      </c>
      <c r="B29" s="18" t="s">
        <v>44</v>
      </c>
      <c r="C29" s="8" t="s">
        <v>95</v>
      </c>
      <c r="D29" s="1" t="s">
        <v>16</v>
      </c>
      <c r="E29" s="7">
        <v>50000</v>
      </c>
      <c r="F29" s="6">
        <v>5</v>
      </c>
      <c r="G29" s="12">
        <f t="shared" si="0"/>
        <v>250000</v>
      </c>
      <c r="H29" s="1" t="s">
        <v>12</v>
      </c>
      <c r="I29" s="1" t="s">
        <v>6</v>
      </c>
      <c r="J29" s="2">
        <v>26775</v>
      </c>
      <c r="K29" s="3">
        <v>0</v>
      </c>
      <c r="L29" s="94" t="s">
        <v>26</v>
      </c>
      <c r="M29" s="31" t="s">
        <v>433</v>
      </c>
      <c r="O29" s="19" t="s">
        <v>144</v>
      </c>
      <c r="P29" s="19" t="s">
        <v>248</v>
      </c>
      <c r="Q29" s="41">
        <v>0</v>
      </c>
      <c r="R29" s="41">
        <v>36000</v>
      </c>
      <c r="S29" s="41">
        <f t="shared" si="1"/>
        <v>-36000</v>
      </c>
      <c r="T29" s="19" t="str">
        <f t="shared" si="2"/>
        <v>X</v>
      </c>
    </row>
    <row r="30" spans="1:20" ht="27.75" customHeight="1">
      <c r="A30" s="17">
        <v>28</v>
      </c>
      <c r="B30" s="16" t="s">
        <v>45</v>
      </c>
      <c r="C30" s="9" t="s">
        <v>235</v>
      </c>
      <c r="D30" s="1" t="s">
        <v>24</v>
      </c>
      <c r="E30" s="7">
        <v>100000</v>
      </c>
      <c r="F30" s="6">
        <v>3</v>
      </c>
      <c r="G30" s="12">
        <f t="shared" si="0"/>
        <v>300000</v>
      </c>
      <c r="H30" s="89" t="s">
        <v>36</v>
      </c>
      <c r="I30" s="89" t="s">
        <v>37</v>
      </c>
      <c r="J30" s="2">
        <v>0</v>
      </c>
      <c r="K30" s="3">
        <f>300000-27106-7984+744-10032-5400-19720-15831+7454-480-9070-1350-34914-15040-2224-12250-25032-24935-1076-9907-12600-16065-479-9210-28726+300000-66654-10173-10735+851-19920+41-8484-11510-147-20475-788+394-7088-1663-3528-11059-(-4200)</f>
        <v>152029</v>
      </c>
      <c r="M30" s="31">
        <v>0</v>
      </c>
      <c r="N30" s="93" t="s">
        <v>359</v>
      </c>
      <c r="O30" s="19" t="s">
        <v>174</v>
      </c>
      <c r="P30" s="19" t="s">
        <v>248</v>
      </c>
      <c r="Q30" s="41">
        <v>152029</v>
      </c>
      <c r="R30" s="41">
        <v>0</v>
      </c>
      <c r="S30" s="41">
        <f t="shared" si="1"/>
        <v>152029</v>
      </c>
      <c r="T30" s="19" t="str">
        <f t="shared" si="2"/>
        <v>O</v>
      </c>
    </row>
    <row r="31" spans="1:20" ht="27.75" customHeight="1">
      <c r="A31" s="17">
        <v>29</v>
      </c>
      <c r="B31" s="14" t="s">
        <v>40</v>
      </c>
      <c r="C31" s="13" t="s">
        <v>236</v>
      </c>
      <c r="D31" s="1" t="s">
        <v>25</v>
      </c>
      <c r="E31" s="7">
        <v>50000</v>
      </c>
      <c r="F31" s="6">
        <v>6</v>
      </c>
      <c r="G31" s="12">
        <f t="shared" si="0"/>
        <v>300000</v>
      </c>
      <c r="H31" s="87" t="s">
        <v>224</v>
      </c>
      <c r="I31" s="1" t="s">
        <v>255</v>
      </c>
      <c r="J31" s="2">
        <v>6613</v>
      </c>
      <c r="K31" s="3">
        <f>300000-66540-83542+82-69228+69228-(-5909)-11324-2168-(-1287)-J31</f>
        <v>137091</v>
      </c>
      <c r="L31" s="93" t="s">
        <v>352</v>
      </c>
      <c r="M31" s="31" t="s">
        <v>386</v>
      </c>
      <c r="N31" s="46" t="s">
        <v>281</v>
      </c>
      <c r="O31" s="19" t="s">
        <v>109</v>
      </c>
      <c r="P31" s="19" t="s">
        <v>248</v>
      </c>
      <c r="Q31" s="41">
        <v>143704</v>
      </c>
      <c r="R31" s="41">
        <v>6298</v>
      </c>
      <c r="S31" s="41">
        <f t="shared" si="1"/>
        <v>137406</v>
      </c>
      <c r="T31" s="19" t="str">
        <f t="shared" si="2"/>
        <v>X</v>
      </c>
    </row>
    <row r="32" spans="1:20" ht="27.75" customHeight="1">
      <c r="A32" s="17">
        <v>30</v>
      </c>
      <c r="B32" s="14" t="s">
        <v>40</v>
      </c>
      <c r="C32" s="13" t="s">
        <v>185</v>
      </c>
      <c r="D32" s="1" t="s">
        <v>25</v>
      </c>
      <c r="E32" s="7">
        <v>50000</v>
      </c>
      <c r="F32" s="6">
        <v>6</v>
      </c>
      <c r="G32" s="12">
        <f t="shared" si="0"/>
        <v>300000</v>
      </c>
      <c r="H32" s="1" t="s">
        <v>224</v>
      </c>
      <c r="I32" s="1" t="s">
        <v>258</v>
      </c>
      <c r="J32" s="2">
        <v>12285</v>
      </c>
      <c r="K32" s="3">
        <f>300000-18270-(-1691)-43065-(-6831)-2205-J32</f>
        <v>232697</v>
      </c>
      <c r="L32" s="93" t="s">
        <v>353</v>
      </c>
      <c r="M32" s="31" t="s">
        <v>386</v>
      </c>
      <c r="N32" s="19" t="s">
        <v>257</v>
      </c>
      <c r="O32" s="19" t="s">
        <v>165</v>
      </c>
      <c r="P32" s="19" t="s">
        <v>248</v>
      </c>
      <c r="Q32" s="41">
        <v>244982</v>
      </c>
      <c r="R32" s="41">
        <v>11700</v>
      </c>
      <c r="S32" s="41">
        <f t="shared" si="1"/>
        <v>233282</v>
      </c>
      <c r="T32" s="19" t="str">
        <f t="shared" si="2"/>
        <v>X</v>
      </c>
    </row>
    <row r="33" spans="1:20" ht="27.75" customHeight="1">
      <c r="A33" s="17">
        <v>31</v>
      </c>
      <c r="B33" s="14" t="s">
        <v>40</v>
      </c>
      <c r="C33" s="13" t="s">
        <v>237</v>
      </c>
      <c r="D33" s="1" t="s">
        <v>25</v>
      </c>
      <c r="E33" s="7">
        <v>50000</v>
      </c>
      <c r="F33" s="6">
        <v>6</v>
      </c>
      <c r="G33" s="12">
        <f t="shared" si="0"/>
        <v>300000</v>
      </c>
      <c r="H33" s="1" t="s">
        <v>78</v>
      </c>
      <c r="I33" s="1" t="s">
        <v>79</v>
      </c>
      <c r="J33" s="2">
        <v>9307</v>
      </c>
      <c r="K33" s="3">
        <f>300000-1575-11493-24695-24228-2628-2836-(-474)-84-30496-706-9307</f>
        <v>192426</v>
      </c>
      <c r="M33" s="31" t="s">
        <v>392</v>
      </c>
      <c r="O33" s="19" t="s">
        <v>114</v>
      </c>
      <c r="P33" s="19" t="s">
        <v>249</v>
      </c>
      <c r="Q33" s="41">
        <v>201733</v>
      </c>
      <c r="R33" s="41">
        <v>8864</v>
      </c>
      <c r="S33" s="41">
        <f t="shared" si="1"/>
        <v>192869</v>
      </c>
      <c r="T33" s="19" t="str">
        <f t="shared" si="2"/>
        <v>X</v>
      </c>
    </row>
    <row r="34" spans="1:20" ht="27.75" customHeight="1">
      <c r="A34" s="17">
        <v>32</v>
      </c>
      <c r="B34" s="18" t="s">
        <v>44</v>
      </c>
      <c r="C34" s="8" t="s">
        <v>238</v>
      </c>
      <c r="D34" s="1" t="s">
        <v>24</v>
      </c>
      <c r="E34" s="7">
        <v>300000</v>
      </c>
      <c r="F34" s="6">
        <v>1</v>
      </c>
      <c r="G34" s="12">
        <f t="shared" si="0"/>
        <v>300000</v>
      </c>
      <c r="H34" s="127" t="s">
        <v>269</v>
      </c>
      <c r="I34" s="127" t="s">
        <v>438</v>
      </c>
      <c r="J34" s="2">
        <v>26796</v>
      </c>
      <c r="K34" s="3">
        <f>300000-14112-19950-14213-(-2205)-110143-101388-(-68397)-66035-49812+5828-26796+300000</f>
        <v>273981</v>
      </c>
      <c r="L34" s="128" t="s">
        <v>435</v>
      </c>
      <c r="M34" s="31" t="s">
        <v>433</v>
      </c>
      <c r="N34" s="130" t="s">
        <v>439</v>
      </c>
      <c r="O34" s="19" t="s">
        <v>110</v>
      </c>
      <c r="P34" s="19" t="s">
        <v>248</v>
      </c>
      <c r="Q34" s="41">
        <v>777</v>
      </c>
      <c r="R34" s="41">
        <v>25520</v>
      </c>
      <c r="S34" s="41">
        <f t="shared" si="1"/>
        <v>-24743</v>
      </c>
      <c r="T34" s="19" t="str">
        <f t="shared" si="2"/>
        <v>X</v>
      </c>
    </row>
    <row r="35" spans="1:20" ht="27.75" customHeight="1">
      <c r="A35" s="17">
        <v>33</v>
      </c>
      <c r="B35" s="30" t="s">
        <v>21</v>
      </c>
      <c r="C35" s="25" t="s">
        <v>80</v>
      </c>
      <c r="D35" s="1" t="s">
        <v>25</v>
      </c>
      <c r="E35" s="7">
        <v>100000</v>
      </c>
      <c r="F35" s="6">
        <v>1</v>
      </c>
      <c r="G35" s="12">
        <f t="shared" si="0"/>
        <v>100000</v>
      </c>
      <c r="H35" s="86" t="s">
        <v>67</v>
      </c>
      <c r="I35" s="86" t="s">
        <v>71</v>
      </c>
      <c r="J35" s="2">
        <v>5712</v>
      </c>
      <c r="K35" s="3">
        <f>300000-7054+7054-1793+620-9782-10197-580-3455-540-292-20540-15330-J35</f>
        <v>232399</v>
      </c>
      <c r="M35" s="31" t="s">
        <v>386</v>
      </c>
      <c r="N35" s="20" t="s">
        <v>83</v>
      </c>
      <c r="O35" s="19" t="s">
        <v>167</v>
      </c>
      <c r="P35" s="19" t="s">
        <v>248</v>
      </c>
      <c r="Q35" s="41">
        <v>238111</v>
      </c>
      <c r="R35" s="41">
        <v>5440</v>
      </c>
      <c r="S35" s="41">
        <f t="shared" si="1"/>
        <v>232671</v>
      </c>
      <c r="T35" s="19" t="str">
        <f t="shared" si="2"/>
        <v>X</v>
      </c>
    </row>
    <row r="36" spans="1:20" ht="27.75" customHeight="1">
      <c r="A36" s="17">
        <v>34</v>
      </c>
      <c r="B36" s="14" t="s">
        <v>40</v>
      </c>
      <c r="C36" s="13" t="s">
        <v>239</v>
      </c>
      <c r="D36" s="1" t="s">
        <v>24</v>
      </c>
      <c r="E36" s="7">
        <v>100000</v>
      </c>
      <c r="F36" s="6">
        <v>3</v>
      </c>
      <c r="G36" s="12">
        <f t="shared" si="0"/>
        <v>300000</v>
      </c>
      <c r="H36" s="99" t="s">
        <v>382</v>
      </c>
      <c r="I36" s="100" t="s">
        <v>383</v>
      </c>
      <c r="J36" s="2">
        <v>24730</v>
      </c>
      <c r="K36" s="3">
        <f>300000-85279-24730</f>
        <v>189991</v>
      </c>
      <c r="L36" s="101" t="s">
        <v>375</v>
      </c>
      <c r="M36" s="31" t="s">
        <v>402</v>
      </c>
      <c r="N36" s="102" t="s">
        <v>376</v>
      </c>
      <c r="O36" s="19" t="s">
        <v>123</v>
      </c>
      <c r="P36" s="19" t="s">
        <v>248</v>
      </c>
      <c r="Q36" s="41">
        <v>214721</v>
      </c>
      <c r="R36" s="41">
        <v>23552</v>
      </c>
      <c r="S36" s="41">
        <f t="shared" si="1"/>
        <v>191169</v>
      </c>
      <c r="T36" s="19" t="str">
        <f t="shared" si="2"/>
        <v>X</v>
      </c>
    </row>
    <row r="37" spans="1:20" ht="27.75" customHeight="1">
      <c r="A37" s="17">
        <v>35</v>
      </c>
      <c r="B37" s="18" t="s">
        <v>44</v>
      </c>
      <c r="C37" s="8" t="s">
        <v>193</v>
      </c>
      <c r="D37" s="1" t="s">
        <v>25</v>
      </c>
      <c r="E37" s="7">
        <v>50000</v>
      </c>
      <c r="F37" s="6">
        <v>6</v>
      </c>
      <c r="G37" s="12">
        <f t="shared" si="0"/>
        <v>300000</v>
      </c>
      <c r="H37" s="87" t="s">
        <v>221</v>
      </c>
      <c r="I37" s="1" t="s">
        <v>39</v>
      </c>
      <c r="J37" s="2">
        <v>28350</v>
      </c>
      <c r="K37" s="3">
        <f>50000+4200+50000+100000+50000+50000-2268-9293-2258-189-1990-40786-9614-50123-(-529)-88767-88079-630-28350+17618</f>
        <v>0</v>
      </c>
      <c r="L37" s="94" t="s">
        <v>26</v>
      </c>
      <c r="M37" s="31" t="s">
        <v>433</v>
      </c>
      <c r="N37" s="93" t="s">
        <v>360</v>
      </c>
      <c r="O37" s="19" t="s">
        <v>186</v>
      </c>
      <c r="P37" s="19" t="s">
        <v>247</v>
      </c>
      <c r="Q37" s="41">
        <v>10732</v>
      </c>
      <c r="R37" s="41">
        <v>27000</v>
      </c>
      <c r="S37" s="41">
        <f t="shared" si="1"/>
        <v>-16268</v>
      </c>
      <c r="T37" s="19" t="str">
        <f t="shared" si="2"/>
        <v>X</v>
      </c>
    </row>
    <row r="38" spans="1:20" ht="27.75" customHeight="1">
      <c r="A38" s="17">
        <v>36</v>
      </c>
      <c r="B38" s="30" t="s">
        <v>21</v>
      </c>
      <c r="C38" s="25" t="s">
        <v>240</v>
      </c>
      <c r="D38" s="1" t="s">
        <v>25</v>
      </c>
      <c r="E38" s="7">
        <v>50000</v>
      </c>
      <c r="F38" s="6">
        <v>6</v>
      </c>
      <c r="G38" s="12">
        <f t="shared" si="0"/>
        <v>300000</v>
      </c>
      <c r="H38" s="92" t="s">
        <v>66</v>
      </c>
      <c r="I38" s="86" t="s">
        <v>77</v>
      </c>
      <c r="J38" s="2">
        <v>0</v>
      </c>
      <c r="K38" s="3">
        <f>300000-42601-26251-5663+1760-3512-5670-0-J38</f>
        <v>218063</v>
      </c>
      <c r="M38" s="31">
        <v>0</v>
      </c>
      <c r="O38" s="19" t="s">
        <v>111</v>
      </c>
      <c r="P38" s="19" t="s">
        <v>248</v>
      </c>
      <c r="Q38" s="41">
        <v>218063</v>
      </c>
      <c r="R38" s="41">
        <v>0</v>
      </c>
      <c r="S38" s="41">
        <f t="shared" si="1"/>
        <v>218063</v>
      </c>
      <c r="T38" s="19" t="str">
        <f t="shared" si="2"/>
        <v>O</v>
      </c>
    </row>
    <row r="39" spans="1:20" ht="27.75" customHeight="1">
      <c r="A39" s="17">
        <v>37</v>
      </c>
      <c r="B39" s="14" t="s">
        <v>17</v>
      </c>
      <c r="C39" s="13" t="s">
        <v>43</v>
      </c>
      <c r="D39" s="1" t="s">
        <v>24</v>
      </c>
      <c r="E39" s="7">
        <v>100000</v>
      </c>
      <c r="F39" s="6">
        <v>3</v>
      </c>
      <c r="G39" s="12">
        <f t="shared" si="0"/>
        <v>300000</v>
      </c>
      <c r="H39" s="88" t="s">
        <v>255</v>
      </c>
      <c r="I39" s="85" t="s">
        <v>279</v>
      </c>
      <c r="J39" s="2">
        <v>18543</v>
      </c>
      <c r="K39" s="3">
        <f>24327-35349+311022-2940-J39</f>
        <v>278517</v>
      </c>
      <c r="L39" s="95" t="s">
        <v>354</v>
      </c>
      <c r="M39" s="31" t="s">
        <v>386</v>
      </c>
      <c r="N39" s="19" t="s">
        <v>212</v>
      </c>
      <c r="O39" s="19" t="s">
        <v>112</v>
      </c>
      <c r="P39" s="19" t="s">
        <v>248</v>
      </c>
      <c r="Q39" s="41">
        <v>297060</v>
      </c>
      <c r="R39" s="41">
        <v>17660</v>
      </c>
      <c r="S39" s="41">
        <f t="shared" si="1"/>
        <v>279400</v>
      </c>
      <c r="T39" s="19" t="str">
        <f t="shared" si="2"/>
        <v>X</v>
      </c>
    </row>
    <row r="40" spans="1:20" ht="27.75" customHeight="1">
      <c r="A40" s="17">
        <v>38</v>
      </c>
      <c r="B40" s="16" t="s">
        <v>45</v>
      </c>
      <c r="C40" s="9" t="s">
        <v>59</v>
      </c>
      <c r="D40" s="1" t="s">
        <v>60</v>
      </c>
      <c r="E40" s="7">
        <v>30000</v>
      </c>
      <c r="F40" s="6">
        <v>3</v>
      </c>
      <c r="G40" s="12">
        <f t="shared" si="0"/>
        <v>90000</v>
      </c>
      <c r="H40" s="90" t="s">
        <v>49</v>
      </c>
      <c r="I40" s="90" t="s">
        <v>58</v>
      </c>
      <c r="J40" s="2">
        <v>-40</v>
      </c>
      <c r="K40" s="3">
        <f>90000-16298-1806-7088+1418-15750-(-1796)-4709-9881-4662-88-7820-18257-(-1117)-(-40)</f>
        <v>8012</v>
      </c>
      <c r="M40" s="31" t="s">
        <v>402</v>
      </c>
      <c r="N40" s="93" t="s">
        <v>361</v>
      </c>
      <c r="O40" s="19" t="s">
        <v>133</v>
      </c>
      <c r="P40" s="19" t="s">
        <v>247</v>
      </c>
      <c r="Q40" s="41">
        <v>7972</v>
      </c>
      <c r="R40" s="41">
        <v>-38</v>
      </c>
      <c r="S40" s="41">
        <f t="shared" si="1"/>
        <v>8010</v>
      </c>
      <c r="T40" s="19" t="str">
        <f t="shared" si="2"/>
        <v>X</v>
      </c>
    </row>
    <row r="41" spans="1:20" ht="27.75" customHeight="1">
      <c r="A41" s="17">
        <v>39</v>
      </c>
      <c r="B41" s="18" t="s">
        <v>93</v>
      </c>
      <c r="C41" s="8" t="s">
        <v>41</v>
      </c>
      <c r="D41" s="1" t="s">
        <v>24</v>
      </c>
      <c r="E41" s="7">
        <v>100000</v>
      </c>
      <c r="F41" s="6">
        <v>3</v>
      </c>
      <c r="G41" s="12">
        <v>300000</v>
      </c>
      <c r="H41" s="87" t="s">
        <v>200</v>
      </c>
      <c r="I41" s="87" t="s">
        <v>200</v>
      </c>
      <c r="J41" s="2">
        <v>50705</v>
      </c>
      <c r="K41" s="3">
        <f>0-38834+39200-(-2260)-50705+48079</f>
        <v>0</v>
      </c>
      <c r="L41" s="94" t="s">
        <v>26</v>
      </c>
      <c r="M41" s="31" t="s">
        <v>402</v>
      </c>
      <c r="N41" s="19" t="s">
        <v>197</v>
      </c>
      <c r="O41" s="19" t="s">
        <v>125</v>
      </c>
      <c r="P41" s="19" t="s">
        <v>246</v>
      </c>
      <c r="Q41" s="41">
        <v>2626</v>
      </c>
      <c r="R41" s="41">
        <v>48290</v>
      </c>
      <c r="S41" s="41">
        <f t="shared" si="1"/>
        <v>-45664</v>
      </c>
      <c r="T41" s="19" t="str">
        <f t="shared" si="2"/>
        <v>X</v>
      </c>
    </row>
    <row r="42" spans="1:20" ht="27.75" customHeight="1">
      <c r="A42" s="17">
        <v>40</v>
      </c>
      <c r="B42" s="14" t="s">
        <v>17</v>
      </c>
      <c r="C42" s="13" t="s">
        <v>98</v>
      </c>
      <c r="D42" s="1" t="s">
        <v>25</v>
      </c>
      <c r="E42" s="7">
        <v>50000</v>
      </c>
      <c r="F42" s="6">
        <v>6</v>
      </c>
      <c r="G42" s="12">
        <f t="shared" si="0"/>
        <v>300000</v>
      </c>
      <c r="H42" s="1" t="s">
        <v>202</v>
      </c>
      <c r="I42" s="1" t="s">
        <v>300</v>
      </c>
      <c r="J42" s="2">
        <v>4272</v>
      </c>
      <c r="K42" s="3">
        <f>42670+309800-102470-54520+4520-45003-122269+71544-4272</f>
        <v>100000</v>
      </c>
      <c r="L42" s="59" t="s">
        <v>301</v>
      </c>
      <c r="M42" s="31" t="s">
        <v>387</v>
      </c>
      <c r="N42" s="61" t="s">
        <v>304</v>
      </c>
      <c r="O42" s="19" t="s">
        <v>139</v>
      </c>
      <c r="P42" s="19" t="s">
        <v>249</v>
      </c>
      <c r="Q42" s="41">
        <v>104272</v>
      </c>
      <c r="R42" s="41">
        <v>4068</v>
      </c>
      <c r="S42" s="41">
        <f t="shared" si="1"/>
        <v>100204</v>
      </c>
      <c r="T42" s="19" t="str">
        <f t="shared" si="2"/>
        <v>X</v>
      </c>
    </row>
    <row r="43" spans="1:20" ht="27.75" customHeight="1">
      <c r="A43" s="17">
        <v>41</v>
      </c>
      <c r="B43" s="14" t="s">
        <v>40</v>
      </c>
      <c r="C43" s="13" t="s">
        <v>241</v>
      </c>
      <c r="D43" s="1" t="s">
        <v>25</v>
      </c>
      <c r="E43" s="7">
        <v>50000</v>
      </c>
      <c r="F43" s="6">
        <v>6</v>
      </c>
      <c r="G43" s="12">
        <f t="shared" si="0"/>
        <v>300000</v>
      </c>
      <c r="H43" s="1" t="s">
        <v>138</v>
      </c>
      <c r="I43" s="1" t="s">
        <v>279</v>
      </c>
      <c r="J43" s="2">
        <v>12474</v>
      </c>
      <c r="K43" s="3">
        <f>300000-29215-14931-13608-(-2132)-12474</f>
        <v>231904</v>
      </c>
      <c r="L43" s="93" t="s">
        <v>355</v>
      </c>
      <c r="M43" s="31" t="s">
        <v>402</v>
      </c>
      <c r="N43" s="45" t="s">
        <v>280</v>
      </c>
      <c r="O43" s="19" t="s">
        <v>128</v>
      </c>
      <c r="P43" s="19" t="s">
        <v>247</v>
      </c>
      <c r="Q43" s="41">
        <v>244378</v>
      </c>
      <c r="R43" s="41">
        <v>11880</v>
      </c>
      <c r="S43" s="41">
        <f t="shared" si="1"/>
        <v>232498</v>
      </c>
      <c r="T43" s="19" t="str">
        <f t="shared" si="2"/>
        <v>X</v>
      </c>
    </row>
    <row r="44" spans="1:20" ht="27.75" customHeight="1">
      <c r="A44" s="17">
        <v>42</v>
      </c>
      <c r="B44" s="14" t="s">
        <v>40</v>
      </c>
      <c r="C44" s="13" t="s">
        <v>242</v>
      </c>
      <c r="D44" s="1" t="s">
        <v>16</v>
      </c>
      <c r="E44" s="7">
        <v>50000</v>
      </c>
      <c r="F44" s="6">
        <v>6</v>
      </c>
      <c r="G44" s="12">
        <f t="shared" si="0"/>
        <v>300000</v>
      </c>
      <c r="H44" s="1" t="s">
        <v>218</v>
      </c>
      <c r="I44" s="91" t="s">
        <v>300</v>
      </c>
      <c r="J44" s="2">
        <v>90048</v>
      </c>
      <c r="K44" s="3">
        <f>17792+300000-24147-114611+20966-(-7909)-90048</f>
        <v>117861</v>
      </c>
      <c r="L44" s="93" t="s">
        <v>347</v>
      </c>
      <c r="M44" s="31" t="s">
        <v>402</v>
      </c>
      <c r="N44" s="52" t="s">
        <v>295</v>
      </c>
      <c r="O44" s="19" t="s">
        <v>129</v>
      </c>
      <c r="P44" s="19" t="s">
        <v>247</v>
      </c>
      <c r="Q44" s="41">
        <v>207909</v>
      </c>
      <c r="R44" s="41">
        <v>85760</v>
      </c>
      <c r="S44" s="41">
        <f t="shared" si="1"/>
        <v>122149</v>
      </c>
      <c r="T44" s="19" t="str">
        <f t="shared" si="2"/>
        <v>X</v>
      </c>
    </row>
    <row r="45" spans="1:20" ht="27.75" customHeight="1">
      <c r="A45" s="17">
        <v>43</v>
      </c>
      <c r="B45" s="14" t="s">
        <v>17</v>
      </c>
      <c r="C45" s="13" t="s">
        <v>89</v>
      </c>
      <c r="D45" s="1" t="s">
        <v>24</v>
      </c>
      <c r="E45" s="7">
        <v>100000</v>
      </c>
      <c r="F45" s="6">
        <v>3</v>
      </c>
      <c r="G45" s="12">
        <f t="shared" si="0"/>
        <v>300000</v>
      </c>
      <c r="H45" s="1" t="s">
        <v>138</v>
      </c>
      <c r="I45" s="91" t="s">
        <v>218</v>
      </c>
      <c r="J45" s="2">
        <v>6897</v>
      </c>
      <c r="K45" s="3">
        <f>300000-30131-12413-70480-68455-56711-4628-61530+4340+8-33706+300000-32576-32389-13701-6897</f>
        <v>180731</v>
      </c>
      <c r="L45" s="44" t="s">
        <v>276</v>
      </c>
      <c r="M45" s="31" t="s">
        <v>402</v>
      </c>
      <c r="N45" s="44" t="s">
        <v>277</v>
      </c>
      <c r="O45" s="19" t="s">
        <v>145</v>
      </c>
      <c r="P45" s="19" t="s">
        <v>248</v>
      </c>
      <c r="Q45" s="41">
        <v>187628</v>
      </c>
      <c r="R45" s="41">
        <v>6569</v>
      </c>
      <c r="S45" s="41">
        <f t="shared" si="1"/>
        <v>181059</v>
      </c>
      <c r="T45" s="19" t="str">
        <f t="shared" si="2"/>
        <v>X</v>
      </c>
    </row>
    <row r="46" spans="1:20" ht="27.75" customHeight="1">
      <c r="A46" s="17">
        <v>44</v>
      </c>
      <c r="B46" s="14" t="s">
        <v>17</v>
      </c>
      <c r="C46" s="13" t="s">
        <v>228</v>
      </c>
      <c r="D46" s="1" t="s">
        <v>24</v>
      </c>
      <c r="E46" s="7">
        <v>100000</v>
      </c>
      <c r="F46" s="6">
        <v>3</v>
      </c>
      <c r="G46" s="12">
        <f t="shared" si="0"/>
        <v>300000</v>
      </c>
      <c r="H46" s="88" t="s">
        <v>255</v>
      </c>
      <c r="I46" s="85" t="s">
        <v>292</v>
      </c>
      <c r="J46" s="2">
        <v>5823</v>
      </c>
      <c r="K46" s="3">
        <f>7504+338800-146304-44578-5823</f>
        <v>149599</v>
      </c>
      <c r="L46" s="95" t="s">
        <v>356</v>
      </c>
      <c r="M46" s="31" t="s">
        <v>387</v>
      </c>
      <c r="N46" s="75" t="s">
        <v>326</v>
      </c>
      <c r="O46" s="19" t="s">
        <v>116</v>
      </c>
      <c r="P46" s="19" t="s">
        <v>249</v>
      </c>
      <c r="Q46" s="41">
        <v>155422</v>
      </c>
      <c r="R46" s="41">
        <v>5546</v>
      </c>
      <c r="S46" s="41">
        <f t="shared" si="1"/>
        <v>149876</v>
      </c>
      <c r="T46" s="19" t="str">
        <f t="shared" si="2"/>
        <v>X</v>
      </c>
    </row>
    <row r="47" spans="1:20" ht="27.75" customHeight="1">
      <c r="A47" s="17">
        <v>45</v>
      </c>
      <c r="B47" s="14" t="s">
        <v>40</v>
      </c>
      <c r="C47" s="13" t="s">
        <v>54</v>
      </c>
      <c r="D47" s="1" t="s">
        <v>25</v>
      </c>
      <c r="E47" s="7">
        <v>50000</v>
      </c>
      <c r="F47" s="6">
        <v>6</v>
      </c>
      <c r="G47" s="12">
        <f t="shared" si="0"/>
        <v>300000</v>
      </c>
      <c r="H47" s="1" t="s">
        <v>202</v>
      </c>
      <c r="I47" s="91" t="s">
        <v>300</v>
      </c>
      <c r="J47" s="2">
        <v>7310</v>
      </c>
      <c r="K47" s="3">
        <f>300000-55884+5884-25011-30020-7310</f>
        <v>187659</v>
      </c>
      <c r="L47" s="47" t="s">
        <v>284</v>
      </c>
      <c r="M47" s="31" t="s">
        <v>402</v>
      </c>
      <c r="N47" s="47" t="s">
        <v>285</v>
      </c>
      <c r="O47" s="19" t="s">
        <v>130</v>
      </c>
      <c r="P47" s="19" t="s">
        <v>247</v>
      </c>
      <c r="Q47" s="41">
        <v>194969</v>
      </c>
      <c r="R47" s="41">
        <v>6962</v>
      </c>
      <c r="S47" s="41">
        <f t="shared" si="1"/>
        <v>188007</v>
      </c>
      <c r="T47" s="19" t="str">
        <f t="shared" si="2"/>
        <v>X</v>
      </c>
    </row>
    <row r="48" spans="1:20" ht="27.75" customHeight="1">
      <c r="A48" s="17">
        <v>46</v>
      </c>
      <c r="B48" s="30" t="s">
        <v>21</v>
      </c>
      <c r="C48" s="25" t="s">
        <v>48</v>
      </c>
      <c r="D48" s="1" t="s">
        <v>25</v>
      </c>
      <c r="E48" s="7">
        <v>100000</v>
      </c>
      <c r="F48" s="6">
        <v>1</v>
      </c>
      <c r="G48" s="12">
        <f t="shared" si="0"/>
        <v>100000</v>
      </c>
      <c r="H48" s="86" t="s">
        <v>140</v>
      </c>
      <c r="I48" s="96" t="s">
        <v>90</v>
      </c>
      <c r="J48" s="2">
        <v>-118</v>
      </c>
      <c r="K48" s="3">
        <f>11922-97770+300000+3839-(-1302)-(-63)-5775-2068-21000-5204-2982-3331-987-(-118)</f>
        <v>178127</v>
      </c>
      <c r="M48" s="31" t="s">
        <v>387</v>
      </c>
      <c r="N48" s="19" t="s">
        <v>141</v>
      </c>
      <c r="O48" s="19" t="s">
        <v>142</v>
      </c>
      <c r="P48" s="19" t="s">
        <v>249</v>
      </c>
      <c r="Q48" s="41">
        <v>178009</v>
      </c>
      <c r="R48" s="41">
        <v>-112</v>
      </c>
      <c r="S48" s="41">
        <f t="shared" si="1"/>
        <v>178121</v>
      </c>
      <c r="T48" s="19" t="str">
        <f t="shared" si="2"/>
        <v>X</v>
      </c>
    </row>
    <row r="49" spans="1:20" ht="27.75" customHeight="1">
      <c r="A49" s="17">
        <v>47</v>
      </c>
      <c r="B49" s="14" t="s">
        <v>17</v>
      </c>
      <c r="C49" s="13" t="s">
        <v>53</v>
      </c>
      <c r="D49" s="1" t="s">
        <v>25</v>
      </c>
      <c r="E49" s="7">
        <v>30000</v>
      </c>
      <c r="F49" s="6">
        <v>3</v>
      </c>
      <c r="G49" s="12">
        <f t="shared" si="0"/>
        <v>90000</v>
      </c>
      <c r="H49" s="87" t="s">
        <v>88</v>
      </c>
      <c r="I49" s="1" t="s">
        <v>202</v>
      </c>
      <c r="J49" s="2">
        <v>-1149</v>
      </c>
      <c r="K49" s="3">
        <f>18100+300000-59068-22470-(-4620)-41839-55199-4431-(-1149)</f>
        <v>140862</v>
      </c>
      <c r="L49" s="19" t="s">
        <v>265</v>
      </c>
      <c r="M49" s="31" t="s">
        <v>391</v>
      </c>
      <c r="N49" s="19" t="s">
        <v>266</v>
      </c>
      <c r="O49" s="19" t="s">
        <v>158</v>
      </c>
      <c r="P49" s="19" t="s">
        <v>247</v>
      </c>
      <c r="Q49" s="41">
        <v>139713</v>
      </c>
      <c r="R49" s="41">
        <v>-1094</v>
      </c>
      <c r="S49" s="41">
        <f t="shared" si="1"/>
        <v>140807</v>
      </c>
      <c r="T49" s="19" t="str">
        <f t="shared" si="2"/>
        <v>X</v>
      </c>
    </row>
    <row r="50" spans="1:20" ht="27.75" customHeight="1">
      <c r="A50" s="17">
        <v>48</v>
      </c>
      <c r="B50" s="18" t="s">
        <v>44</v>
      </c>
      <c r="C50" s="8" t="s">
        <v>207</v>
      </c>
      <c r="D50" s="1" t="s">
        <v>24</v>
      </c>
      <c r="E50" s="7">
        <v>100000</v>
      </c>
      <c r="F50" s="6">
        <v>3</v>
      </c>
      <c r="G50" s="12">
        <f t="shared" si="0"/>
        <v>300000</v>
      </c>
      <c r="H50" s="131" t="s">
        <v>279</v>
      </c>
      <c r="I50" s="131" t="s">
        <v>300</v>
      </c>
      <c r="J50" s="2">
        <v>225462</v>
      </c>
      <c r="K50" s="3">
        <f>300000-59527-9912-7192-22294-25902-23719-19560-2678-5928-7835-2663-20118-22750-5946-1358-5427-21597-15939-225462+205807+200000</f>
        <v>200000</v>
      </c>
      <c r="L50" s="128" t="s">
        <v>440</v>
      </c>
      <c r="M50" s="31" t="s">
        <v>433</v>
      </c>
      <c r="N50" s="129" t="s">
        <v>441</v>
      </c>
      <c r="O50" s="19" t="s">
        <v>117</v>
      </c>
      <c r="P50" s="19" t="s">
        <v>249</v>
      </c>
      <c r="Q50" s="41">
        <v>19655</v>
      </c>
      <c r="R50" s="41">
        <v>214771</v>
      </c>
      <c r="S50" s="41">
        <f t="shared" si="1"/>
        <v>-195116</v>
      </c>
      <c r="T50" s="19" t="str">
        <f t="shared" si="2"/>
        <v>X</v>
      </c>
    </row>
    <row r="51" spans="1:20" ht="27.75" customHeight="1">
      <c r="A51" s="17">
        <v>49</v>
      </c>
      <c r="B51" s="30" t="s">
        <v>21</v>
      </c>
      <c r="C51" s="25" t="s">
        <v>42</v>
      </c>
      <c r="D51" s="1" t="s">
        <v>24</v>
      </c>
      <c r="E51" s="7">
        <v>100000</v>
      </c>
      <c r="F51" s="6">
        <v>3</v>
      </c>
      <c r="G51" s="12">
        <f t="shared" si="0"/>
        <v>300000</v>
      </c>
      <c r="H51" s="86" t="s">
        <v>68</v>
      </c>
      <c r="I51" s="86" t="s">
        <v>70</v>
      </c>
      <c r="J51" s="2">
        <v>30987</v>
      </c>
      <c r="K51" s="3">
        <f>90000-20864-4977-1092-420-9909-23121-6589-14291+593-8560+7673-23543+300000-22705-1987-27416-882-26744-15496-6114-3480-1556-4250-3875-5975-63806-16034-4660-J51</f>
        <v>48933</v>
      </c>
      <c r="M51" s="31" t="s">
        <v>433</v>
      </c>
      <c r="O51" s="19" t="s">
        <v>159</v>
      </c>
      <c r="P51" s="19" t="s">
        <v>247</v>
      </c>
      <c r="Q51" s="41">
        <v>79920</v>
      </c>
      <c r="R51" s="41">
        <v>29673</v>
      </c>
      <c r="S51" s="41">
        <f t="shared" si="1"/>
        <v>50247</v>
      </c>
      <c r="T51" s="19" t="str">
        <f t="shared" si="2"/>
        <v>X</v>
      </c>
    </row>
    <row r="52" spans="1:20" ht="27.75" customHeight="1">
      <c r="A52" s="17">
        <v>50</v>
      </c>
      <c r="B52" s="16" t="s">
        <v>45</v>
      </c>
      <c r="C52" s="9" t="s">
        <v>81</v>
      </c>
      <c r="D52" s="1" t="s">
        <v>24</v>
      </c>
      <c r="E52" s="7">
        <v>100000</v>
      </c>
      <c r="F52" s="6">
        <v>3</v>
      </c>
      <c r="G52" s="12">
        <f t="shared" si="0"/>
        <v>300000</v>
      </c>
      <c r="H52" s="89" t="s">
        <v>33</v>
      </c>
      <c r="I52" s="89" t="s">
        <v>35</v>
      </c>
      <c r="J52" s="2">
        <v>3896</v>
      </c>
      <c r="K52" s="3">
        <f>300000-102971-13210-34112-93151-2640-9150-8556+904-2570-10892-560+7196-10260-9600+664-9274+300000-3969-8282-3914-2667-31332+775-8822-31857-12411-36204-3812+384-81890-2699-3150-6936-2392-7728-1932-7367-(-1554)-3969-(-832)-15015-23069-(-1859)-966-3896</f>
        <v>2943</v>
      </c>
      <c r="M52" s="31" t="s">
        <v>402</v>
      </c>
      <c r="N52" s="93" t="s">
        <v>363</v>
      </c>
      <c r="O52" s="19" t="s">
        <v>160</v>
      </c>
      <c r="P52" s="19" t="s">
        <v>247</v>
      </c>
      <c r="Q52" s="41">
        <v>6839</v>
      </c>
      <c r="R52" s="41">
        <v>3710</v>
      </c>
      <c r="S52" s="41">
        <f t="shared" si="1"/>
        <v>3129</v>
      </c>
      <c r="T52" s="19" t="str">
        <f t="shared" si="2"/>
        <v>X</v>
      </c>
    </row>
    <row r="53" spans="1:20" ht="27.75" customHeight="1">
      <c r="A53" s="17">
        <v>51</v>
      </c>
      <c r="B53" s="14" t="s">
        <v>40</v>
      </c>
      <c r="C53" s="13" t="s">
        <v>61</v>
      </c>
      <c r="D53" s="1" t="s">
        <v>25</v>
      </c>
      <c r="E53" s="7">
        <v>50000</v>
      </c>
      <c r="F53" s="6">
        <v>6</v>
      </c>
      <c r="G53" s="12">
        <f t="shared" si="0"/>
        <v>300000</v>
      </c>
      <c r="H53" s="1" t="s">
        <v>74</v>
      </c>
      <c r="I53" s="1" t="s">
        <v>218</v>
      </c>
      <c r="J53" s="2">
        <v>0</v>
      </c>
      <c r="K53" s="3">
        <f>6424-4347-578-4599+3100+26230+300000-76230-(-3696)-8043-45507-41375-(-840)-J53</f>
        <v>159611</v>
      </c>
      <c r="M53" s="31">
        <v>0</v>
      </c>
      <c r="N53" s="19" t="s">
        <v>219</v>
      </c>
      <c r="O53" s="19" t="s">
        <v>187</v>
      </c>
      <c r="P53" s="19" t="s">
        <v>249</v>
      </c>
      <c r="Q53" s="41">
        <v>159611</v>
      </c>
      <c r="R53" s="41">
        <v>0</v>
      </c>
      <c r="S53" s="41">
        <f t="shared" si="1"/>
        <v>159611</v>
      </c>
      <c r="T53" s="19" t="str">
        <f t="shared" si="2"/>
        <v>O</v>
      </c>
    </row>
    <row r="54" spans="1:20" ht="27.75" customHeight="1">
      <c r="A54" s="17">
        <v>52</v>
      </c>
      <c r="B54" s="14" t="s">
        <v>40</v>
      </c>
      <c r="C54" s="13" t="s">
        <v>47</v>
      </c>
      <c r="D54" s="1" t="s">
        <v>24</v>
      </c>
      <c r="E54" s="7">
        <v>100000</v>
      </c>
      <c r="F54" s="6">
        <v>3</v>
      </c>
      <c r="G54" s="12">
        <f t="shared" si="0"/>
        <v>300000</v>
      </c>
      <c r="H54" s="1" t="s">
        <v>224</v>
      </c>
      <c r="I54" s="1" t="s">
        <v>138</v>
      </c>
      <c r="J54" s="2">
        <v>71339</v>
      </c>
      <c r="K54" s="3">
        <f>18120+143693-161813+300000-(-8841)-(-305)-17566-5534-135160+134988-0-26131-71339</f>
        <v>188404</v>
      </c>
      <c r="M54" s="31" t="s">
        <v>391</v>
      </c>
      <c r="N54" s="19" t="s">
        <v>210</v>
      </c>
      <c r="O54" s="19" t="s">
        <v>131</v>
      </c>
      <c r="P54" s="19" t="s">
        <v>247</v>
      </c>
      <c r="Q54" s="41">
        <v>259743</v>
      </c>
      <c r="R54" s="41">
        <v>67942</v>
      </c>
      <c r="S54" s="41">
        <f t="shared" si="1"/>
        <v>191801</v>
      </c>
      <c r="T54" s="19" t="str">
        <f t="shared" si="2"/>
        <v>X</v>
      </c>
    </row>
    <row r="55" spans="1:20" ht="27.75" customHeight="1">
      <c r="A55" s="17">
        <v>53</v>
      </c>
      <c r="B55" s="16" t="s">
        <v>45</v>
      </c>
      <c r="C55" s="9" t="s">
        <v>243</v>
      </c>
      <c r="D55" s="1" t="s">
        <v>25</v>
      </c>
      <c r="E55" s="7">
        <v>50000</v>
      </c>
      <c r="F55" s="6">
        <v>12</v>
      </c>
      <c r="G55" s="12">
        <f t="shared" si="0"/>
        <v>600000</v>
      </c>
      <c r="H55" s="89" t="s">
        <v>32</v>
      </c>
      <c r="I55" s="89" t="s">
        <v>34</v>
      </c>
      <c r="J55" s="2">
        <v>732</v>
      </c>
      <c r="K55" s="3">
        <f>556484+7498+220+2305-10376-7753-2986-10472-6850-4896-6756-5141-14864-5497-16360-74603-23672-26745-24570-10915-2479-1945-33512-4956-38451-27983-3654-21734-10518-11840+268-34623-(-6292)-8957-21538-(-500)-25169-12936-(-2772)-17266-732</f>
        <v>45590</v>
      </c>
      <c r="M55" s="31" t="s">
        <v>402</v>
      </c>
      <c r="N55" s="93" t="s">
        <v>364</v>
      </c>
      <c r="O55" s="19" t="s">
        <v>188</v>
      </c>
      <c r="P55" s="19" t="s">
        <v>247</v>
      </c>
      <c r="Q55" s="41">
        <v>46322</v>
      </c>
      <c r="R55" s="41">
        <v>697</v>
      </c>
      <c r="S55" s="41">
        <f t="shared" si="1"/>
        <v>45625</v>
      </c>
      <c r="T55" s="19" t="str">
        <f t="shared" si="2"/>
        <v>X</v>
      </c>
    </row>
    <row r="56" spans="1:20" ht="27.75" customHeight="1">
      <c r="A56" s="17">
        <v>54</v>
      </c>
      <c r="B56" s="30" t="s">
        <v>21</v>
      </c>
      <c r="C56" s="25" t="s">
        <v>82</v>
      </c>
      <c r="D56" s="1" t="s">
        <v>24</v>
      </c>
      <c r="E56" s="7">
        <v>100000</v>
      </c>
      <c r="F56" s="6">
        <v>2</v>
      </c>
      <c r="G56" s="12">
        <f t="shared" si="0"/>
        <v>200000</v>
      </c>
      <c r="H56" s="86" t="s">
        <v>178</v>
      </c>
      <c r="I56" s="86" t="s">
        <v>71</v>
      </c>
      <c r="J56" s="2">
        <v>0</v>
      </c>
      <c r="K56" s="3">
        <f>200000-(-7917)-0-0-J56</f>
        <v>207917</v>
      </c>
      <c r="M56" s="31">
        <v>0</v>
      </c>
      <c r="N56" s="19" t="s">
        <v>177</v>
      </c>
      <c r="O56" s="19" t="s">
        <v>176</v>
      </c>
      <c r="P56" s="19" t="s">
        <v>246</v>
      </c>
      <c r="Q56" s="41">
        <v>207917</v>
      </c>
      <c r="R56" s="41">
        <v>0</v>
      </c>
      <c r="S56" s="41">
        <f t="shared" si="1"/>
        <v>207917</v>
      </c>
      <c r="T56" s="19" t="str">
        <f t="shared" si="2"/>
        <v>O</v>
      </c>
    </row>
    <row r="57" spans="1:20" ht="27.75" customHeight="1">
      <c r="A57" s="17">
        <v>55</v>
      </c>
      <c r="B57" s="30" t="s">
        <v>21</v>
      </c>
      <c r="C57" s="25" t="s">
        <v>51</v>
      </c>
      <c r="D57" s="1" t="s">
        <v>25</v>
      </c>
      <c r="E57" s="7">
        <v>50000</v>
      </c>
      <c r="F57" s="6">
        <v>6</v>
      </c>
      <c r="G57" s="12">
        <f t="shared" si="0"/>
        <v>300000</v>
      </c>
      <c r="H57" s="86" t="s">
        <v>64</v>
      </c>
      <c r="I57" s="86" t="s">
        <v>90</v>
      </c>
      <c r="J57" s="2">
        <v>0</v>
      </c>
      <c r="K57" s="3">
        <f>291213-8534-415-33896-7648-8294-25977-1182-1722-13726-0-1890-0-J57</f>
        <v>187929</v>
      </c>
      <c r="M57" s="31">
        <v>0</v>
      </c>
      <c r="O57" s="19" t="s">
        <v>127</v>
      </c>
      <c r="P57" s="19" t="s">
        <v>249</v>
      </c>
      <c r="Q57" s="41">
        <v>187929</v>
      </c>
      <c r="R57" s="41">
        <v>0</v>
      </c>
      <c r="S57" s="41">
        <f t="shared" si="1"/>
        <v>187929</v>
      </c>
      <c r="T57" s="19" t="str">
        <f t="shared" si="2"/>
        <v>O</v>
      </c>
    </row>
    <row r="58" spans="1:20" ht="27.75" customHeight="1">
      <c r="A58" s="17">
        <v>56</v>
      </c>
      <c r="B58" s="14" t="s">
        <v>40</v>
      </c>
      <c r="C58" s="14" t="s">
        <v>28</v>
      </c>
      <c r="D58" s="1" t="s">
        <v>24</v>
      </c>
      <c r="E58" s="7">
        <v>100000</v>
      </c>
      <c r="F58" s="6">
        <v>3</v>
      </c>
      <c r="G58" s="12">
        <f t="shared" si="0"/>
        <v>300000</v>
      </c>
      <c r="H58" s="1" t="s">
        <v>90</v>
      </c>
      <c r="I58" s="1" t="s">
        <v>202</v>
      </c>
      <c r="J58" s="2">
        <v>-7762</v>
      </c>
      <c r="K58" s="3">
        <f>18092+300000-64117-22203-64266-33368-8329-22706-5462-5938-2416-37338-16832-83152+300000-17026-(-9888)-29563-35177-18692-(-788)-40201-(-470)-(-7762)</f>
        <v>130214</v>
      </c>
      <c r="M58" s="31" t="s">
        <v>391</v>
      </c>
      <c r="N58" s="19" t="s">
        <v>195</v>
      </c>
      <c r="O58" s="19" t="s">
        <v>143</v>
      </c>
      <c r="P58" s="19" t="s">
        <v>249</v>
      </c>
      <c r="Q58" s="41">
        <v>122452</v>
      </c>
      <c r="R58" s="41">
        <v>-7392</v>
      </c>
      <c r="S58" s="41">
        <f t="shared" si="1"/>
        <v>129844</v>
      </c>
      <c r="T58" s="19" t="str">
        <f t="shared" si="2"/>
        <v>X</v>
      </c>
    </row>
    <row r="59" spans="1:20" ht="27.75" customHeight="1">
      <c r="A59" s="17">
        <v>57</v>
      </c>
      <c r="B59" s="18" t="s">
        <v>44</v>
      </c>
      <c r="C59" s="8" t="s">
        <v>27</v>
      </c>
      <c r="D59" s="1" t="s">
        <v>24</v>
      </c>
      <c r="E59" s="7">
        <v>100000</v>
      </c>
      <c r="F59" s="6">
        <v>3</v>
      </c>
      <c r="G59" s="12">
        <f t="shared" si="0"/>
        <v>300000</v>
      </c>
      <c r="H59" s="127" t="s">
        <v>279</v>
      </c>
      <c r="I59" s="127" t="s">
        <v>300</v>
      </c>
      <c r="J59" s="2">
        <v>43674</v>
      </c>
      <c r="K59" s="3">
        <f>300000-43674</f>
        <v>256326</v>
      </c>
      <c r="L59" s="128" t="s">
        <v>432</v>
      </c>
      <c r="M59" s="31" t="s">
        <v>433</v>
      </c>
      <c r="N59" s="129" t="s">
        <v>434</v>
      </c>
      <c r="O59" s="19" t="s">
        <v>169</v>
      </c>
      <c r="P59" s="19" t="s">
        <v>248</v>
      </c>
      <c r="Q59" s="41">
        <v>0</v>
      </c>
      <c r="R59" s="41">
        <v>41594</v>
      </c>
      <c r="S59" s="41">
        <f t="shared" si="1"/>
        <v>-41594</v>
      </c>
      <c r="T59" s="19" t="str">
        <f t="shared" si="2"/>
        <v>X</v>
      </c>
    </row>
    <row r="60" spans="1:20" ht="27.75" customHeight="1">
      <c r="A60" s="17">
        <v>58</v>
      </c>
      <c r="B60" s="18" t="s">
        <v>44</v>
      </c>
      <c r="C60" s="8" t="s">
        <v>56</v>
      </c>
      <c r="D60" s="1" t="s">
        <v>25</v>
      </c>
      <c r="E60" s="7">
        <v>100000</v>
      </c>
      <c r="F60" s="6">
        <v>1</v>
      </c>
      <c r="G60" s="12">
        <f t="shared" si="0"/>
        <v>100000</v>
      </c>
      <c r="H60" s="87" t="s">
        <v>71</v>
      </c>
      <c r="I60" s="87" t="s">
        <v>71</v>
      </c>
      <c r="J60" s="2">
        <v>0</v>
      </c>
      <c r="K60" s="3">
        <f>90000-49135-31500+8001-7207+920+100000-50715-2617-6556-12090-34997-4253+149-0-J60</f>
        <v>0</v>
      </c>
      <c r="L60" s="94" t="s">
        <v>26</v>
      </c>
      <c r="M60" s="31">
        <v>0</v>
      </c>
      <c r="N60" s="19" t="s">
        <v>161</v>
      </c>
      <c r="O60" s="19" t="s">
        <v>120</v>
      </c>
      <c r="P60" s="19" t="s">
        <v>249</v>
      </c>
      <c r="Q60" s="41">
        <v>0</v>
      </c>
      <c r="R60" s="41">
        <v>0</v>
      </c>
      <c r="S60" s="41">
        <f t="shared" si="1"/>
        <v>0</v>
      </c>
      <c r="T60" s="19" t="str">
        <f t="shared" si="2"/>
        <v>O</v>
      </c>
    </row>
    <row r="61" spans="1:20" ht="27.75" customHeight="1">
      <c r="A61" s="17">
        <v>59</v>
      </c>
      <c r="B61" s="30" t="s">
        <v>21</v>
      </c>
      <c r="C61" s="25" t="s">
        <v>76</v>
      </c>
      <c r="D61" s="1" t="s">
        <v>16</v>
      </c>
      <c r="E61" s="7">
        <v>100000</v>
      </c>
      <c r="F61" s="6">
        <v>3</v>
      </c>
      <c r="G61" s="12">
        <f t="shared" si="0"/>
        <v>300000</v>
      </c>
      <c r="H61" s="92" t="s">
        <v>71</v>
      </c>
      <c r="I61" s="86" t="s">
        <v>74</v>
      </c>
      <c r="J61" s="2">
        <v>8693</v>
      </c>
      <c r="K61" s="3">
        <f>300000-57944-22743-10634-6377-40275-18188-13242-10332-15089-14471-8693</f>
        <v>82012</v>
      </c>
      <c r="M61" s="31" t="s">
        <v>391</v>
      </c>
      <c r="N61" s="19" t="s">
        <v>122</v>
      </c>
      <c r="O61" s="19" t="s">
        <v>121</v>
      </c>
      <c r="P61" s="19" t="s">
        <v>249</v>
      </c>
      <c r="Q61" s="41">
        <v>90705</v>
      </c>
      <c r="R61" s="41">
        <v>8279</v>
      </c>
      <c r="S61" s="41">
        <f t="shared" si="1"/>
        <v>82426</v>
      </c>
      <c r="T61" s="19" t="str">
        <f t="shared" si="2"/>
        <v>X</v>
      </c>
    </row>
    <row r="62" spans="1:20" ht="27.75" customHeight="1">
      <c r="A62" s="17">
        <v>60</v>
      </c>
      <c r="B62" s="14" t="s">
        <v>17</v>
      </c>
      <c r="C62" s="13" t="s">
        <v>62</v>
      </c>
      <c r="D62" s="1" t="s">
        <v>25</v>
      </c>
      <c r="E62" s="7">
        <v>50000</v>
      </c>
      <c r="F62" s="6">
        <v>6</v>
      </c>
      <c r="G62" s="12">
        <f t="shared" si="0"/>
        <v>300000</v>
      </c>
      <c r="H62" s="87" t="s">
        <v>224</v>
      </c>
      <c r="I62" s="1" t="s">
        <v>258</v>
      </c>
      <c r="J62" s="2">
        <v>1155</v>
      </c>
      <c r="K62" s="3">
        <f>300000-7875-9736-(-1040)-0-7350-99557-11208-J62</f>
        <v>164159</v>
      </c>
      <c r="L62" s="20"/>
      <c r="M62" s="31" t="s">
        <v>386</v>
      </c>
      <c r="N62" s="20" t="s">
        <v>251</v>
      </c>
      <c r="O62" s="19" t="s">
        <v>168</v>
      </c>
      <c r="P62" s="19" t="s">
        <v>248</v>
      </c>
      <c r="Q62" s="41">
        <v>165314</v>
      </c>
      <c r="R62" s="41">
        <v>1100</v>
      </c>
      <c r="S62" s="41">
        <f t="shared" si="1"/>
        <v>164214</v>
      </c>
      <c r="T62" s="19" t="str">
        <f t="shared" si="2"/>
        <v>X</v>
      </c>
    </row>
    <row r="63" spans="1:20" ht="27.75" customHeight="1">
      <c r="A63" s="17">
        <v>61</v>
      </c>
      <c r="B63" s="14" t="s">
        <v>17</v>
      </c>
      <c r="C63" s="13" t="s">
        <v>31</v>
      </c>
      <c r="D63" s="1" t="s">
        <v>24</v>
      </c>
      <c r="E63" s="7">
        <v>100000</v>
      </c>
      <c r="F63" s="6">
        <v>3</v>
      </c>
      <c r="G63" s="12">
        <f t="shared" si="0"/>
        <v>300000</v>
      </c>
      <c r="H63" s="87" t="s">
        <v>88</v>
      </c>
      <c r="I63" s="1" t="s">
        <v>202</v>
      </c>
      <c r="J63" s="2">
        <v>0</v>
      </c>
      <c r="K63" s="3">
        <f>300000-48258-108671-7271-9559-275-J63</f>
        <v>125966</v>
      </c>
      <c r="L63" s="93" t="s">
        <v>352</v>
      </c>
      <c r="M63" s="31">
        <v>0</v>
      </c>
      <c r="N63" s="19" t="s">
        <v>260</v>
      </c>
      <c r="O63" s="19" t="s">
        <v>136</v>
      </c>
      <c r="P63" s="19" t="s">
        <v>247</v>
      </c>
      <c r="Q63" s="41">
        <v>125966</v>
      </c>
      <c r="R63" s="41">
        <v>0</v>
      </c>
      <c r="S63" s="41">
        <f t="shared" si="1"/>
        <v>125966</v>
      </c>
      <c r="T63" s="19" t="str">
        <f t="shared" si="2"/>
        <v>O</v>
      </c>
    </row>
    <row r="64" spans="1:20" ht="27.75" customHeight="1">
      <c r="A64" s="17">
        <v>62</v>
      </c>
      <c r="B64" s="18" t="s">
        <v>44</v>
      </c>
      <c r="C64" s="8" t="s">
        <v>204</v>
      </c>
      <c r="D64" s="1" t="s">
        <v>25</v>
      </c>
      <c r="E64" s="7">
        <v>100000</v>
      </c>
      <c r="F64" s="6">
        <v>1</v>
      </c>
      <c r="G64" s="12">
        <f t="shared" si="0"/>
        <v>100000</v>
      </c>
      <c r="H64" s="1" t="s">
        <v>205</v>
      </c>
      <c r="I64" s="1" t="s">
        <v>205</v>
      </c>
      <c r="J64" s="2">
        <v>0</v>
      </c>
      <c r="K64" s="3">
        <f>-2489</f>
        <v>-2489</v>
      </c>
      <c r="L64" s="94" t="s">
        <v>26</v>
      </c>
      <c r="M64" s="31">
        <v>0</v>
      </c>
      <c r="N64" s="19" t="s">
        <v>206</v>
      </c>
      <c r="O64" s="19" t="s">
        <v>203</v>
      </c>
      <c r="P64" s="19" t="s">
        <v>249</v>
      </c>
      <c r="Q64" s="41">
        <v>-2489</v>
      </c>
      <c r="R64" s="41">
        <v>0</v>
      </c>
      <c r="S64" s="41">
        <f t="shared" si="1"/>
        <v>-2489</v>
      </c>
      <c r="T64" s="19" t="str">
        <f t="shared" si="2"/>
        <v>O</v>
      </c>
    </row>
    <row r="65" spans="1:20" ht="27.75" customHeight="1">
      <c r="A65" s="17">
        <v>63</v>
      </c>
      <c r="B65" s="14" t="s">
        <v>17</v>
      </c>
      <c r="C65" s="13" t="s">
        <v>57</v>
      </c>
      <c r="D65" s="1" t="s">
        <v>25</v>
      </c>
      <c r="E65" s="7">
        <v>50000</v>
      </c>
      <c r="F65" s="6">
        <v>6</v>
      </c>
      <c r="G65" s="12">
        <f t="shared" si="0"/>
        <v>300000</v>
      </c>
      <c r="H65" s="87" t="s">
        <v>71</v>
      </c>
      <c r="I65" s="1" t="s">
        <v>138</v>
      </c>
      <c r="J65" s="2">
        <v>0</v>
      </c>
      <c r="K65" s="3">
        <f>9182+300000-53834-8363-66119-5118-32723-9160-2310-8921</f>
        <v>122634</v>
      </c>
      <c r="M65" s="31">
        <v>0</v>
      </c>
      <c r="N65" s="19" t="s">
        <v>162</v>
      </c>
      <c r="O65" s="19" t="s">
        <v>115</v>
      </c>
      <c r="P65" s="19" t="s">
        <v>249</v>
      </c>
      <c r="Q65" s="41">
        <v>122634</v>
      </c>
      <c r="R65" s="41">
        <v>0</v>
      </c>
      <c r="S65" s="41">
        <f t="shared" si="1"/>
        <v>122634</v>
      </c>
      <c r="T65" s="19" t="str">
        <f t="shared" si="2"/>
        <v>O</v>
      </c>
    </row>
    <row r="66" spans="1:20" ht="27.75" customHeight="1">
      <c r="A66" s="17">
        <v>64</v>
      </c>
      <c r="B66" s="18" t="s">
        <v>44</v>
      </c>
      <c r="C66" s="8" t="s">
        <v>63</v>
      </c>
      <c r="D66" s="1" t="s">
        <v>60</v>
      </c>
      <c r="E66" s="7">
        <v>50000</v>
      </c>
      <c r="F66" s="6">
        <v>6</v>
      </c>
      <c r="G66" s="12">
        <f t="shared" si="0"/>
        <v>300000</v>
      </c>
      <c r="H66" s="87" t="s">
        <v>224</v>
      </c>
      <c r="I66" s="1" t="s">
        <v>138</v>
      </c>
      <c r="J66" s="2">
        <v>35868</v>
      </c>
      <c r="K66" s="3">
        <v>0</v>
      </c>
      <c r="L66" s="94" t="s">
        <v>26</v>
      </c>
      <c r="M66" s="31" t="s">
        <v>433</v>
      </c>
      <c r="N66" s="19" t="s">
        <v>250</v>
      </c>
      <c r="O66" s="129" t="s">
        <v>132</v>
      </c>
      <c r="P66" s="19" t="s">
        <v>247</v>
      </c>
      <c r="Q66" s="41">
        <v>0</v>
      </c>
      <c r="R66" s="41">
        <v>34160</v>
      </c>
      <c r="S66" s="41">
        <f t="shared" si="1"/>
        <v>-34160</v>
      </c>
      <c r="T66" s="19" t="str">
        <f t="shared" si="2"/>
        <v>X</v>
      </c>
    </row>
    <row r="67" spans="1:20" ht="27.75" customHeight="1">
      <c r="A67" s="17">
        <v>65</v>
      </c>
      <c r="B67" s="14" t="s">
        <v>17</v>
      </c>
      <c r="C67" s="13" t="s">
        <v>38</v>
      </c>
      <c r="D67" s="1" t="s">
        <v>15</v>
      </c>
      <c r="E67" s="7">
        <v>150000</v>
      </c>
      <c r="F67" s="6">
        <v>6</v>
      </c>
      <c r="G67" s="12">
        <f t="shared" si="0"/>
        <v>900000</v>
      </c>
      <c r="H67" s="87" t="s">
        <v>268</v>
      </c>
      <c r="I67" s="1" t="s">
        <v>269</v>
      </c>
      <c r="J67" s="2">
        <v>102421</v>
      </c>
      <c r="K67" s="3">
        <f>150000*6-99420-18220-135541-82176-70245-80418-102421</f>
        <v>311559</v>
      </c>
      <c r="L67" s="19" t="s">
        <v>267</v>
      </c>
      <c r="M67" s="31" t="s">
        <v>391</v>
      </c>
      <c r="N67" s="19" t="s">
        <v>270</v>
      </c>
      <c r="O67" s="19" t="s">
        <v>175</v>
      </c>
      <c r="P67" s="19" t="s">
        <v>246</v>
      </c>
      <c r="Q67" s="41">
        <v>413980</v>
      </c>
      <c r="R67" s="41">
        <v>97570</v>
      </c>
      <c r="S67" s="41">
        <f t="shared" si="1"/>
        <v>316410</v>
      </c>
      <c r="T67" s="19" t="str">
        <f t="shared" si="2"/>
        <v>X</v>
      </c>
    </row>
    <row r="68" spans="1:20" ht="27.75" customHeight="1">
      <c r="A68" s="17">
        <v>66</v>
      </c>
      <c r="B68" s="30" t="s">
        <v>21</v>
      </c>
      <c r="C68" s="25" t="s">
        <v>73</v>
      </c>
      <c r="D68" s="1" t="s">
        <v>25</v>
      </c>
      <c r="E68" s="7">
        <v>50000</v>
      </c>
      <c r="F68" s="6">
        <v>6</v>
      </c>
      <c r="G68" s="12">
        <f t="shared" si="0"/>
        <v>300000</v>
      </c>
      <c r="H68" s="92" t="s">
        <v>55</v>
      </c>
      <c r="I68" s="86" t="s">
        <v>71</v>
      </c>
      <c r="J68" s="2">
        <v>13244</v>
      </c>
      <c r="K68" s="3">
        <f>73398+300000-99178+25780-11025-13244</f>
        <v>275731</v>
      </c>
      <c r="L68" s="93" t="s">
        <v>348</v>
      </c>
      <c r="M68" s="31" t="s">
        <v>391</v>
      </c>
      <c r="N68" s="57" t="s">
        <v>298</v>
      </c>
      <c r="O68" s="19" t="s">
        <v>146</v>
      </c>
      <c r="P68" s="19" t="s">
        <v>246</v>
      </c>
      <c r="Q68" s="41">
        <v>263195</v>
      </c>
      <c r="R68" s="41">
        <v>12613</v>
      </c>
      <c r="S68" s="41">
        <f t="shared" ref="S68:S76" si="3">Q68-R68</f>
        <v>250582</v>
      </c>
      <c r="T68" s="19" t="str">
        <f t="shared" ref="T68:T76" si="4">IF(K68=S68,"O","X")</f>
        <v>X</v>
      </c>
    </row>
    <row r="69" spans="1:20" ht="27.75" customHeight="1">
      <c r="A69" s="17">
        <v>67</v>
      </c>
      <c r="B69" s="14" t="s">
        <v>17</v>
      </c>
      <c r="C69" s="13" t="s">
        <v>309</v>
      </c>
      <c r="D69" s="1" t="s">
        <v>24</v>
      </c>
      <c r="E69" s="7">
        <v>30000</v>
      </c>
      <c r="F69" s="6">
        <v>3</v>
      </c>
      <c r="G69" s="12">
        <f t="shared" si="0"/>
        <v>90000</v>
      </c>
      <c r="H69" s="87" t="s">
        <v>218</v>
      </c>
      <c r="I69" s="1" t="s">
        <v>258</v>
      </c>
      <c r="J69" s="2">
        <v>6242</v>
      </c>
      <c r="K69" s="3">
        <f>90000-5313-6426</f>
        <v>78261</v>
      </c>
      <c r="L69" s="93" t="s">
        <v>349</v>
      </c>
      <c r="M69" s="31" t="s">
        <v>391</v>
      </c>
      <c r="N69" s="67" t="s">
        <v>308</v>
      </c>
      <c r="O69" s="66" t="s">
        <v>311</v>
      </c>
      <c r="P69" s="66" t="s">
        <v>312</v>
      </c>
      <c r="Q69" s="41">
        <v>84687</v>
      </c>
      <c r="R69" s="41">
        <v>6120</v>
      </c>
      <c r="S69" s="41">
        <f t="shared" si="3"/>
        <v>78567</v>
      </c>
      <c r="T69" s="19" t="str">
        <f t="shared" si="4"/>
        <v>X</v>
      </c>
    </row>
    <row r="70" spans="1:20" ht="27.75" customHeight="1">
      <c r="A70" s="17">
        <v>68</v>
      </c>
      <c r="B70" s="30" t="s">
        <v>21</v>
      </c>
      <c r="C70" s="25" t="s">
        <v>189</v>
      </c>
      <c r="D70" s="1" t="s">
        <v>15</v>
      </c>
      <c r="E70" s="7">
        <v>100000</v>
      </c>
      <c r="F70" s="6">
        <v>3</v>
      </c>
      <c r="G70" s="12">
        <f t="shared" si="0"/>
        <v>300000</v>
      </c>
      <c r="H70" s="92" t="s">
        <v>190</v>
      </c>
      <c r="I70" s="86" t="s">
        <v>191</v>
      </c>
      <c r="J70" s="2">
        <v>0</v>
      </c>
      <c r="K70" s="3">
        <f>300000-3904-171-22279-24548-4422-0-1502-8533-20349</f>
        <v>214292</v>
      </c>
      <c r="M70" s="31">
        <v>0</v>
      </c>
      <c r="N70" s="20" t="s">
        <v>171</v>
      </c>
      <c r="O70" s="19" t="s">
        <v>172</v>
      </c>
      <c r="P70" s="19" t="s">
        <v>246</v>
      </c>
      <c r="Q70" s="41">
        <v>214292</v>
      </c>
      <c r="R70" s="41">
        <v>0</v>
      </c>
      <c r="S70" s="41">
        <f t="shared" si="3"/>
        <v>214292</v>
      </c>
      <c r="T70" s="19" t="str">
        <f t="shared" si="4"/>
        <v>O</v>
      </c>
    </row>
    <row r="71" spans="1:20" ht="27.75" customHeight="1">
      <c r="A71" s="17">
        <v>69</v>
      </c>
      <c r="B71" s="30" t="s">
        <v>21</v>
      </c>
      <c r="C71" s="25" t="s">
        <v>65</v>
      </c>
      <c r="D71" s="1" t="s">
        <v>25</v>
      </c>
      <c r="E71" s="7">
        <v>30000</v>
      </c>
      <c r="F71" s="6">
        <v>3</v>
      </c>
      <c r="G71" s="12">
        <f t="shared" si="0"/>
        <v>90000</v>
      </c>
      <c r="H71" s="92" t="s">
        <v>55</v>
      </c>
      <c r="I71" s="86" t="s">
        <v>70</v>
      </c>
      <c r="J71" s="2">
        <v>8610</v>
      </c>
      <c r="K71" s="3">
        <f>300000-6732-149680+5310-23804-1573-(-4095)-2995-16120-6646-34272-19278-8610</f>
        <v>39695</v>
      </c>
      <c r="M71" s="31" t="s">
        <v>402</v>
      </c>
      <c r="N71" s="20"/>
      <c r="O71" s="19" t="s">
        <v>170</v>
      </c>
      <c r="P71" s="19" t="s">
        <v>246</v>
      </c>
      <c r="Q71" s="41">
        <v>48305</v>
      </c>
      <c r="R71" s="41">
        <v>8200</v>
      </c>
      <c r="S71" s="41">
        <f t="shared" si="3"/>
        <v>40105</v>
      </c>
      <c r="T71" s="19" t="str">
        <f t="shared" si="4"/>
        <v>X</v>
      </c>
    </row>
    <row r="72" spans="1:20" ht="27.75" customHeight="1">
      <c r="A72" s="17">
        <v>70</v>
      </c>
      <c r="B72" s="14" t="s">
        <v>17</v>
      </c>
      <c r="C72" s="13" t="s">
        <v>52</v>
      </c>
      <c r="D72" s="1" t="s">
        <v>25</v>
      </c>
      <c r="E72" s="7">
        <v>30000</v>
      </c>
      <c r="F72" s="6">
        <v>6</v>
      </c>
      <c r="G72" s="12">
        <f t="shared" si="0"/>
        <v>180000</v>
      </c>
      <c r="H72" s="87" t="s">
        <v>218</v>
      </c>
      <c r="I72" s="1" t="s">
        <v>300</v>
      </c>
      <c r="J72" s="2">
        <v>61956</v>
      </c>
      <c r="K72" s="3">
        <f>39664+300000-52605-13703-6825-61956</f>
        <v>204575</v>
      </c>
      <c r="L72" s="93" t="s">
        <v>348</v>
      </c>
      <c r="M72" s="31" t="s">
        <v>405</v>
      </c>
      <c r="N72" s="20"/>
      <c r="O72" s="19" t="s">
        <v>147</v>
      </c>
      <c r="P72" s="19" t="s">
        <v>246</v>
      </c>
      <c r="Q72" s="41">
        <v>266531</v>
      </c>
      <c r="R72" s="41">
        <v>59006</v>
      </c>
      <c r="S72" s="41">
        <f t="shared" si="3"/>
        <v>207525</v>
      </c>
      <c r="T72" s="19" t="str">
        <f t="shared" si="4"/>
        <v>X</v>
      </c>
    </row>
    <row r="73" spans="1:20" ht="27.75" customHeight="1">
      <c r="A73" s="17">
        <v>71</v>
      </c>
      <c r="B73" s="14" t="s">
        <v>40</v>
      </c>
      <c r="C73" s="13" t="s">
        <v>229</v>
      </c>
      <c r="D73" s="1" t="s">
        <v>25</v>
      </c>
      <c r="E73" s="7">
        <v>50000</v>
      </c>
      <c r="F73" s="6">
        <v>6</v>
      </c>
      <c r="G73" s="12">
        <f t="shared" si="0"/>
        <v>300000</v>
      </c>
      <c r="H73" s="87" t="s">
        <v>201</v>
      </c>
      <c r="I73" s="1" t="s">
        <v>227</v>
      </c>
      <c r="J73" s="2">
        <v>-19824</v>
      </c>
      <c r="K73" s="3">
        <f>-24769+24769+300000-11519-7175-(-4162)-36815-12891-127221-17220-(-19824)</f>
        <v>111145</v>
      </c>
      <c r="M73" s="31" t="s">
        <v>391</v>
      </c>
      <c r="N73" s="109" t="s">
        <v>395</v>
      </c>
      <c r="O73" s="19" t="s">
        <v>163</v>
      </c>
      <c r="P73" s="19" t="s">
        <v>246</v>
      </c>
      <c r="Q73" s="41">
        <v>91321</v>
      </c>
      <c r="R73" s="41">
        <v>-18879</v>
      </c>
      <c r="S73" s="41">
        <f t="shared" si="3"/>
        <v>110200</v>
      </c>
      <c r="T73" s="19" t="str">
        <f t="shared" si="4"/>
        <v>X</v>
      </c>
    </row>
    <row r="74" spans="1:20" ht="27.75" customHeight="1">
      <c r="A74" s="17">
        <v>72</v>
      </c>
      <c r="B74" s="18" t="s">
        <v>93</v>
      </c>
      <c r="C74" s="8" t="s">
        <v>84</v>
      </c>
      <c r="D74" s="1" t="s">
        <v>25</v>
      </c>
      <c r="E74" s="7">
        <v>50000</v>
      </c>
      <c r="F74" s="6">
        <v>6</v>
      </c>
      <c r="G74" s="12">
        <f t="shared" si="0"/>
        <v>300000</v>
      </c>
      <c r="H74" s="110" t="s">
        <v>397</v>
      </c>
      <c r="I74" s="106" t="s">
        <v>398</v>
      </c>
      <c r="J74" s="2">
        <v>88122</v>
      </c>
      <c r="K74" s="3">
        <f>1277-88122+86845+300000</f>
        <v>300000</v>
      </c>
      <c r="L74" s="108" t="s">
        <v>394</v>
      </c>
      <c r="M74" s="31" t="s">
        <v>393</v>
      </c>
      <c r="N74" s="109" t="s">
        <v>396</v>
      </c>
      <c r="O74" s="19" t="s">
        <v>148</v>
      </c>
      <c r="P74" s="19" t="s">
        <v>246</v>
      </c>
      <c r="Q74" s="41">
        <v>-1277</v>
      </c>
      <c r="R74" s="41">
        <v>84538</v>
      </c>
      <c r="S74" s="41">
        <f t="shared" si="3"/>
        <v>-85815</v>
      </c>
      <c r="T74" s="19" t="str">
        <f t="shared" si="4"/>
        <v>X</v>
      </c>
    </row>
    <row r="75" spans="1:20" ht="27.75" customHeight="1">
      <c r="A75" s="17">
        <v>73</v>
      </c>
      <c r="B75" s="16" t="s">
        <v>45</v>
      </c>
      <c r="C75" s="9" t="s">
        <v>0</v>
      </c>
      <c r="D75" s="1" t="s">
        <v>16</v>
      </c>
      <c r="E75" s="7">
        <v>50000</v>
      </c>
      <c r="F75" s="6">
        <v>10</v>
      </c>
      <c r="G75" s="12">
        <f t="shared" si="0"/>
        <v>500000</v>
      </c>
      <c r="H75" s="89" t="s">
        <v>13</v>
      </c>
      <c r="I75" s="89" t="s">
        <v>14</v>
      </c>
      <c r="J75" s="2">
        <v>0</v>
      </c>
      <c r="K75" s="3">
        <f>3112+4900-0-0-J75</f>
        <v>8012</v>
      </c>
      <c r="M75" s="31">
        <v>0</v>
      </c>
      <c r="N75" s="93" t="s">
        <v>365</v>
      </c>
      <c r="O75" s="19" t="s">
        <v>192</v>
      </c>
      <c r="P75" s="19" t="s">
        <v>248</v>
      </c>
      <c r="Q75" s="41">
        <v>8012</v>
      </c>
      <c r="R75" s="41">
        <v>0</v>
      </c>
      <c r="S75" s="41">
        <f t="shared" si="3"/>
        <v>8012</v>
      </c>
      <c r="T75" s="19" t="str">
        <f t="shared" si="4"/>
        <v>O</v>
      </c>
    </row>
    <row r="76" spans="1:20" ht="27.75" customHeight="1">
      <c r="A76" s="17">
        <v>74</v>
      </c>
      <c r="B76" s="14" t="s">
        <v>40</v>
      </c>
      <c r="C76" s="13" t="s">
        <v>244</v>
      </c>
      <c r="D76" s="1" t="s">
        <v>15</v>
      </c>
      <c r="E76" s="7">
        <v>100000</v>
      </c>
      <c r="F76" s="6">
        <v>3</v>
      </c>
      <c r="G76" s="12">
        <f t="shared" si="0"/>
        <v>300000</v>
      </c>
      <c r="H76" s="87" t="s">
        <v>224</v>
      </c>
      <c r="I76" s="1" t="s">
        <v>138</v>
      </c>
      <c r="J76" s="2">
        <v>234</v>
      </c>
      <c r="K76" s="3">
        <f>20902+300000-35247-49429-34239-31248-33787-54580-15388-234</f>
        <v>66750</v>
      </c>
      <c r="L76" s="93" t="s">
        <v>357</v>
      </c>
      <c r="M76" s="31" t="s">
        <v>433</v>
      </c>
      <c r="N76" s="40" t="s">
        <v>253</v>
      </c>
      <c r="O76" s="19" t="s">
        <v>164</v>
      </c>
      <c r="P76" s="19" t="s">
        <v>249</v>
      </c>
      <c r="Q76" s="41">
        <v>66984</v>
      </c>
      <c r="R76" s="41">
        <v>223</v>
      </c>
      <c r="S76" s="41">
        <f t="shared" si="3"/>
        <v>66761</v>
      </c>
      <c r="T76" s="19" t="str">
        <f t="shared" si="4"/>
        <v>X</v>
      </c>
    </row>
    <row r="77" spans="1:20" ht="21" customHeight="1">
      <c r="A77" s="189" t="s">
        <v>18</v>
      </c>
      <c r="B77" s="189"/>
      <c r="C77" s="189"/>
      <c r="D77" s="189"/>
      <c r="E77" s="190">
        <f>SUM(E3:E76)</f>
        <v>6450000</v>
      </c>
      <c r="F77" s="190"/>
      <c r="G77" s="190"/>
      <c r="H77" s="189" t="s">
        <v>23</v>
      </c>
      <c r="I77" s="189"/>
      <c r="J77" s="190">
        <f>SUM(J3:J76)</f>
        <v>2409399</v>
      </c>
      <c r="K77" s="190"/>
    </row>
    <row r="78" spans="1:20" ht="20.25" customHeight="1">
      <c r="A78" s="189" t="s">
        <v>29</v>
      </c>
      <c r="B78" s="189"/>
      <c r="C78" s="189"/>
      <c r="D78" s="189"/>
      <c r="E78" s="190">
        <f>E77-SUMIF(B3:B76,"待續約",E3:E76)</f>
        <v>4900000</v>
      </c>
      <c r="F78" s="190"/>
      <c r="G78" s="190"/>
      <c r="H78" s="191"/>
      <c r="I78" s="192"/>
      <c r="J78" s="193"/>
      <c r="K78" s="194"/>
    </row>
    <row r="79" spans="1:20" ht="21">
      <c r="A79" s="35" t="s">
        <v>19</v>
      </c>
      <c r="B79" s="4">
        <f>COUNTA(C3:C76)</f>
        <v>74</v>
      </c>
      <c r="C79" s="4" t="s">
        <v>20</v>
      </c>
      <c r="D79" s="4">
        <f>COUNTIF(B3:B76,"嚴重")</f>
        <v>5</v>
      </c>
      <c r="E79" s="4" t="s">
        <v>21</v>
      </c>
      <c r="F79" s="4">
        <f>COUNTIF(B3:B76,"逾期")</f>
        <v>13</v>
      </c>
      <c r="G79" s="36"/>
      <c r="H79" s="4" t="s">
        <v>22</v>
      </c>
      <c r="I79" s="4">
        <f>B79-D79-F79</f>
        <v>56</v>
      </c>
      <c r="J79" s="4" t="s">
        <v>7</v>
      </c>
      <c r="K79" s="37">
        <f>J77/E78</f>
        <v>0.49171408163265307</v>
      </c>
    </row>
    <row r="80" spans="1:20" s="21" customFormat="1">
      <c r="A80" s="19" t="s">
        <v>245</v>
      </c>
      <c r="B80" s="19"/>
      <c r="E80" s="38"/>
      <c r="G80" s="39"/>
      <c r="K80" s="19"/>
      <c r="N80" s="19"/>
      <c r="Q80" s="42"/>
      <c r="R80" s="41"/>
      <c r="S80" s="41"/>
      <c r="T80" s="19"/>
    </row>
    <row r="81" spans="14:14">
      <c r="N81" s="21"/>
    </row>
  </sheetData>
  <autoFilter ref="A2:S80" xr:uid="{00000000-0009-0000-0000-000008000000}"/>
  <mergeCells count="9">
    <mergeCell ref="A78:D78"/>
    <mergeCell ref="E78:G78"/>
    <mergeCell ref="H78:I78"/>
    <mergeCell ref="J78:K78"/>
    <mergeCell ref="A1:K1"/>
    <mergeCell ref="A77:D77"/>
    <mergeCell ref="E77:G77"/>
    <mergeCell ref="H77:I77"/>
    <mergeCell ref="J77:K77"/>
  </mergeCells>
  <phoneticPr fontId="54" type="noConversion"/>
  <conditionalFormatting sqref="A2:C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{8673AA6A-5B84-492C-80CF-ECF6B96BEB42}</x14:id>
        </ext>
      </extLst>
    </cfRule>
  </conditionalFormatting>
  <conditionalFormatting sqref="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{2F30A5A6-C512-46A7-9504-D34E3A47E1BA}</x14:id>
        </ext>
      </extLst>
    </cfRule>
  </conditionalFormatting>
  <conditionalFormatting sqref="E2:I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{FDE1BAE8-F823-4E10-88D3-ED9B7EE2BD56}</x14:id>
        </ext>
      </extLst>
    </cfRule>
  </conditionalFormatting>
  <conditionalFormatting sqref="J2:K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{0ED93BB6-57A2-45D0-800F-7BB45E00ACEF}</x14:id>
        </ext>
      </extLst>
    </cfRule>
  </conditionalFormatting>
  <pageMargins left="0.31496062992125984" right="0.11811023622047245" top="0.15748031496062992" bottom="0" header="0.31496062992125984" footer="0.31496062992125984"/>
  <pageSetup paperSize="9" scale="65" fitToHeight="0" orientation="portrait" verticalDpi="18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73AA6A-5B84-492C-80CF-ECF6B96BE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A2:C2</xm:sqref>
        </x14:conditionalFormatting>
        <x14:conditionalFormatting xmlns:xm="http://schemas.microsoft.com/office/excel/2006/main">
          <x14:cfRule type="dataBar" id="{2F30A5A6-C512-46A7-9504-D34E3A47E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FDE1BAE8-F823-4E10-88D3-ED9B7EE2BD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E2:I2</xm:sqref>
        </x14:conditionalFormatting>
        <x14:conditionalFormatting xmlns:xm="http://schemas.microsoft.com/office/excel/2006/main">
          <x14:cfRule type="dataBar" id="{0ED93BB6-57A2-45D0-800F-7BB45E00A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J2:K2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FCA0-ACA9-48C4-A70C-6A647B7E9725}">
  <sheetPr>
    <pageSetUpPr fitToPage="1"/>
  </sheetPr>
  <dimension ref="A1:T88"/>
  <sheetViews>
    <sheetView zoomScale="80" zoomScaleNormal="80" zoomScaleSheetLayoutView="90" workbookViewId="0">
      <pane ySplit="2" topLeftCell="A56" activePane="bottomLeft" state="frozen"/>
      <selection pane="bottomLeft" activeCell="K76" sqref="K76"/>
    </sheetView>
  </sheetViews>
  <sheetFormatPr defaultRowHeight="15.75"/>
  <cols>
    <col min="1" max="1" width="7.25" style="19" customWidth="1"/>
    <col min="2" max="2" width="12.125" style="19" customWidth="1"/>
    <col min="3" max="3" width="13.5" style="21" customWidth="1"/>
    <col min="4" max="4" width="9.875" style="21" customWidth="1"/>
    <col min="5" max="5" width="14.625" style="21" bestFit="1" customWidth="1"/>
    <col min="6" max="6" width="7.5" style="21" customWidth="1"/>
    <col min="7" max="7" width="14" style="39" customWidth="1"/>
    <col min="8" max="8" width="12.75" style="21" customWidth="1"/>
    <col min="9" max="9" width="14.5" style="21" customWidth="1"/>
    <col min="10" max="10" width="20.25" style="21" customWidth="1"/>
    <col min="11" max="11" width="14.75" style="19" customWidth="1"/>
    <col min="12" max="12" width="9" style="19"/>
    <col min="13" max="13" width="9" style="21" customWidth="1"/>
    <col min="14" max="14" width="46.625" style="19" customWidth="1"/>
    <col min="15" max="15" width="14.375" style="19" customWidth="1"/>
    <col min="16" max="16" width="9" style="19" customWidth="1"/>
    <col min="17" max="18" width="15.25" style="41" customWidth="1"/>
    <col min="19" max="19" width="13" style="41" customWidth="1"/>
    <col min="20" max="21" width="9" style="19" customWidth="1"/>
    <col min="22" max="16384" width="9" style="19"/>
  </cols>
  <sheetData>
    <row r="1" spans="1:20" ht="33.75" customHeight="1">
      <c r="A1" s="195" t="s">
        <v>442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20" s="28" customFormat="1" ht="27" customHeight="1">
      <c r="A2" s="4" t="s">
        <v>5</v>
      </c>
      <c r="B2" s="4" t="s">
        <v>7</v>
      </c>
      <c r="C2" s="4" t="s">
        <v>4</v>
      </c>
      <c r="D2" s="4" t="s">
        <v>8</v>
      </c>
      <c r="E2" s="4" t="s">
        <v>3</v>
      </c>
      <c r="F2" s="4" t="s">
        <v>9</v>
      </c>
      <c r="G2" s="11" t="s">
        <v>2</v>
      </c>
      <c r="H2" s="4" t="s">
        <v>10</v>
      </c>
      <c r="I2" s="4" t="s">
        <v>11</v>
      </c>
      <c r="J2" s="132" t="s">
        <v>443</v>
      </c>
      <c r="K2" s="4" t="s">
        <v>1</v>
      </c>
      <c r="L2" s="28" t="s">
        <v>26</v>
      </c>
      <c r="M2" s="29" t="s">
        <v>271</v>
      </c>
      <c r="N2" s="19" t="s">
        <v>272</v>
      </c>
      <c r="O2" s="28" t="s">
        <v>273</v>
      </c>
      <c r="P2" s="28" t="s">
        <v>274</v>
      </c>
      <c r="Q2" s="43" t="s">
        <v>379</v>
      </c>
      <c r="R2" s="43" t="s">
        <v>444</v>
      </c>
      <c r="S2" s="43" t="s">
        <v>445</v>
      </c>
      <c r="T2" s="28" t="s">
        <v>271</v>
      </c>
    </row>
    <row r="3" spans="1:20" ht="27.75" customHeight="1">
      <c r="A3" s="17">
        <v>1</v>
      </c>
      <c r="B3" s="14" t="s">
        <v>40</v>
      </c>
      <c r="C3" s="13" t="s">
        <v>91</v>
      </c>
      <c r="D3" s="1" t="s">
        <v>15</v>
      </c>
      <c r="E3" s="7">
        <v>100000</v>
      </c>
      <c r="F3" s="6">
        <v>3</v>
      </c>
      <c r="G3" s="12">
        <f>E3*F3</f>
        <v>300000</v>
      </c>
      <c r="H3" s="1" t="s">
        <v>255</v>
      </c>
      <c r="I3" s="1" t="s">
        <v>279</v>
      </c>
      <c r="J3" s="2">
        <v>39437</v>
      </c>
      <c r="K3" s="3">
        <f>300000-55482-(-4155)-121529-39437</f>
        <v>87707</v>
      </c>
      <c r="L3" s="93" t="s">
        <v>350</v>
      </c>
      <c r="M3" s="31" t="s">
        <v>464</v>
      </c>
      <c r="N3" s="78" t="s">
        <v>333</v>
      </c>
      <c r="O3" s="19" t="s">
        <v>101</v>
      </c>
      <c r="P3" s="19" t="s">
        <v>246</v>
      </c>
      <c r="Q3" s="41">
        <v>127144</v>
      </c>
      <c r="R3" s="41">
        <v>37559</v>
      </c>
      <c r="S3" s="41">
        <f>Q3-R3</f>
        <v>89585</v>
      </c>
      <c r="T3" s="19" t="str">
        <f>IF(K3=S3,"O","X")</f>
        <v>X</v>
      </c>
    </row>
    <row r="4" spans="1:20" ht="27.75" customHeight="1">
      <c r="A4" s="17">
        <v>2</v>
      </c>
      <c r="B4" s="18" t="s">
        <v>44</v>
      </c>
      <c r="C4" s="8" t="s">
        <v>275</v>
      </c>
      <c r="D4" s="1" t="s">
        <v>24</v>
      </c>
      <c r="E4" s="7">
        <v>300000</v>
      </c>
      <c r="F4" s="6">
        <v>1</v>
      </c>
      <c r="G4" s="12">
        <f t="shared" ref="G4:G77" si="0">E4*F4</f>
        <v>300000</v>
      </c>
      <c r="H4" s="127" t="s">
        <v>300</v>
      </c>
      <c r="I4" s="127" t="s">
        <v>476</v>
      </c>
      <c r="J4" s="2">
        <v>130675</v>
      </c>
      <c r="K4" s="3">
        <f>300000-183901-135659+19560+300000-209746-130675+300000</f>
        <v>259579</v>
      </c>
      <c r="L4" s="150" t="s">
        <v>475</v>
      </c>
      <c r="M4" s="31" t="s">
        <v>474</v>
      </c>
      <c r="N4" s="151" t="s">
        <v>477</v>
      </c>
      <c r="O4" s="19" t="s">
        <v>179</v>
      </c>
      <c r="P4" s="19" t="s">
        <v>247</v>
      </c>
      <c r="Q4" s="41">
        <v>90254</v>
      </c>
      <c r="R4" s="41">
        <v>144452</v>
      </c>
      <c r="S4" s="41">
        <f t="shared" ref="S4:S68" si="1">Q4-R4</f>
        <v>-54198</v>
      </c>
      <c r="T4" s="19" t="str">
        <f t="shared" ref="T4:T68" si="2">IF(K4=S4,"O","X")</f>
        <v>X</v>
      </c>
    </row>
    <row r="5" spans="1:20" ht="27.75" customHeight="1">
      <c r="A5" s="17">
        <v>3</v>
      </c>
      <c r="B5" s="14" t="s">
        <v>40</v>
      </c>
      <c r="C5" s="13" t="s">
        <v>230</v>
      </c>
      <c r="D5" s="1" t="s">
        <v>24</v>
      </c>
      <c r="E5" s="7">
        <v>150000</v>
      </c>
      <c r="F5" s="6">
        <v>6</v>
      </c>
      <c r="G5" s="12">
        <f t="shared" si="0"/>
        <v>900000</v>
      </c>
      <c r="H5" s="127" t="s">
        <v>292</v>
      </c>
      <c r="I5" s="127" t="s">
        <v>390</v>
      </c>
      <c r="J5" s="2">
        <v>73127</v>
      </c>
      <c r="K5" s="3">
        <f>900000+128-30357-42637-32809-54163-40336-70692-80277-67994-120766-41934-50426-57745-19504-23134-80436-41158-17460-8820-1925-49010+31455+900000-73127</f>
        <v>826873</v>
      </c>
      <c r="L5" s="133" t="s">
        <v>389</v>
      </c>
      <c r="M5" s="31" t="s">
        <v>75</v>
      </c>
      <c r="N5" s="104" t="s">
        <v>388</v>
      </c>
      <c r="O5" s="19" t="s">
        <v>102</v>
      </c>
      <c r="P5" s="19" t="s">
        <v>246</v>
      </c>
      <c r="Q5" s="41">
        <v>900000</v>
      </c>
      <c r="R5" s="41">
        <v>69645</v>
      </c>
      <c r="S5" s="41">
        <f t="shared" si="1"/>
        <v>830355</v>
      </c>
      <c r="T5" s="19" t="str">
        <f t="shared" si="2"/>
        <v>X</v>
      </c>
    </row>
    <row r="6" spans="1:20" ht="27.75" customHeight="1">
      <c r="A6" s="17">
        <v>4</v>
      </c>
      <c r="B6" s="14" t="s">
        <v>40</v>
      </c>
      <c r="C6" s="13" t="s">
        <v>319</v>
      </c>
      <c r="D6" s="1" t="s">
        <v>24</v>
      </c>
      <c r="E6" s="7">
        <v>100000</v>
      </c>
      <c r="F6" s="6">
        <v>3</v>
      </c>
      <c r="G6" s="12">
        <f t="shared" si="0"/>
        <v>300000</v>
      </c>
      <c r="H6" s="1" t="s">
        <v>74</v>
      </c>
      <c r="I6" s="1" t="s">
        <v>88</v>
      </c>
      <c r="J6" s="2">
        <v>12833</v>
      </c>
      <c r="K6" s="3">
        <f>491+5116-5607+300000-(-2982)-22961-72363-28525-(-1184)-66700-60082-18086-12062-12833</f>
        <v>10554</v>
      </c>
      <c r="M6" s="31" t="s">
        <v>455</v>
      </c>
      <c r="N6" s="19" t="s">
        <v>194</v>
      </c>
      <c r="O6" s="19" t="s">
        <v>135</v>
      </c>
      <c r="P6" s="19" t="s">
        <v>247</v>
      </c>
      <c r="Q6" s="41">
        <v>23387</v>
      </c>
      <c r="R6" s="41">
        <v>12222</v>
      </c>
      <c r="S6" s="41">
        <f t="shared" si="1"/>
        <v>11165</v>
      </c>
      <c r="T6" s="19" t="str">
        <f t="shared" si="2"/>
        <v>X</v>
      </c>
    </row>
    <row r="7" spans="1:20" ht="27.75" customHeight="1">
      <c r="A7" s="17">
        <v>5</v>
      </c>
      <c r="B7" s="30" t="s">
        <v>21</v>
      </c>
      <c r="C7" s="25" t="s">
        <v>320</v>
      </c>
      <c r="D7" s="1" t="s">
        <v>24</v>
      </c>
      <c r="E7" s="7">
        <v>100000</v>
      </c>
      <c r="F7" s="6">
        <v>3</v>
      </c>
      <c r="G7" s="12">
        <f t="shared" si="0"/>
        <v>300000</v>
      </c>
      <c r="H7" s="86" t="s">
        <v>70</v>
      </c>
      <c r="I7" s="86" t="s">
        <v>69</v>
      </c>
      <c r="J7" s="2">
        <v>-1859</v>
      </c>
      <c r="K7" s="3">
        <f>300000-110880-13703+275-983-2667-76360-1515-284-(-402)-0-9293-0-336-0-(-1859)</f>
        <v>86515</v>
      </c>
      <c r="M7" s="31" t="s">
        <v>464</v>
      </c>
      <c r="O7" s="19" t="s">
        <v>124</v>
      </c>
      <c r="P7" s="19" t="s">
        <v>248</v>
      </c>
      <c r="Q7" s="41">
        <v>84656</v>
      </c>
      <c r="R7" s="41">
        <v>-1770</v>
      </c>
      <c r="S7" s="41">
        <f t="shared" si="1"/>
        <v>86426</v>
      </c>
      <c r="T7" s="19" t="str">
        <f t="shared" si="2"/>
        <v>X</v>
      </c>
    </row>
    <row r="8" spans="1:20" ht="27.75" customHeight="1">
      <c r="A8" s="17">
        <v>6</v>
      </c>
      <c r="B8" s="30" t="s">
        <v>21</v>
      </c>
      <c r="C8" s="25" t="s">
        <v>321</v>
      </c>
      <c r="D8" s="1" t="s">
        <v>24</v>
      </c>
      <c r="E8" s="7">
        <v>300000</v>
      </c>
      <c r="F8" s="6">
        <v>1</v>
      </c>
      <c r="G8" s="12">
        <f t="shared" si="0"/>
        <v>300000</v>
      </c>
      <c r="H8" s="86" t="s">
        <v>69</v>
      </c>
      <c r="I8" s="86" t="s">
        <v>384</v>
      </c>
      <c r="J8" s="2">
        <v>0</v>
      </c>
      <c r="K8" s="3">
        <f>12197+300000-6426-118879-0-(-13440)-7497-95-J8</f>
        <v>192740</v>
      </c>
      <c r="M8" s="31" t="s">
        <v>465</v>
      </c>
      <c r="N8" s="19" t="s">
        <v>99</v>
      </c>
      <c r="O8" s="19" t="s">
        <v>103</v>
      </c>
      <c r="P8" s="19" t="s">
        <v>249</v>
      </c>
      <c r="Q8" s="41">
        <v>192740</v>
      </c>
      <c r="R8" s="41">
        <v>0</v>
      </c>
      <c r="S8" s="41">
        <f t="shared" si="1"/>
        <v>192740</v>
      </c>
      <c r="T8" s="19" t="str">
        <f t="shared" si="2"/>
        <v>O</v>
      </c>
    </row>
    <row r="9" spans="1:20" ht="27.75" customHeight="1">
      <c r="A9" s="17">
        <v>7</v>
      </c>
      <c r="B9" s="18" t="s">
        <v>44</v>
      </c>
      <c r="C9" s="8" t="s">
        <v>282</v>
      </c>
      <c r="D9" s="1" t="s">
        <v>24</v>
      </c>
      <c r="E9" s="7">
        <v>100000</v>
      </c>
      <c r="F9" s="6">
        <v>3</v>
      </c>
      <c r="G9" s="12">
        <f t="shared" si="0"/>
        <v>300000</v>
      </c>
      <c r="H9" s="1" t="s">
        <v>216</v>
      </c>
      <c r="I9" s="1" t="s">
        <v>258</v>
      </c>
      <c r="J9" s="2">
        <v>56361</v>
      </c>
      <c r="K9" s="3">
        <f>336528 -136528-38813-51854-26755-47071-56361+20854</f>
        <v>0</v>
      </c>
      <c r="L9" s="94" t="s">
        <v>26</v>
      </c>
      <c r="M9" s="31" t="s">
        <v>464</v>
      </c>
      <c r="N9" s="19" t="s">
        <v>211</v>
      </c>
      <c r="O9" s="19" t="s">
        <v>104</v>
      </c>
      <c r="P9" s="19" t="s">
        <v>248</v>
      </c>
      <c r="Q9" s="41">
        <v>35507</v>
      </c>
      <c r="R9" s="41">
        <v>86537</v>
      </c>
      <c r="S9" s="41">
        <f t="shared" si="1"/>
        <v>-51030</v>
      </c>
      <c r="T9" s="19" t="str">
        <f t="shared" si="2"/>
        <v>X</v>
      </c>
    </row>
    <row r="10" spans="1:20" ht="27.75" customHeight="1">
      <c r="A10" s="17">
        <v>8</v>
      </c>
      <c r="B10" s="14" t="s">
        <v>40</v>
      </c>
      <c r="C10" s="13" t="s">
        <v>199</v>
      </c>
      <c r="D10" s="1" t="s">
        <v>24</v>
      </c>
      <c r="E10" s="7">
        <v>100000</v>
      </c>
      <c r="F10" s="6">
        <v>3</v>
      </c>
      <c r="G10" s="12">
        <f t="shared" si="0"/>
        <v>300000</v>
      </c>
      <c r="H10" s="1" t="s">
        <v>202</v>
      </c>
      <c r="I10" s="1" t="s">
        <v>255</v>
      </c>
      <c r="J10" s="2">
        <v>-312</v>
      </c>
      <c r="K10" s="3">
        <f>300000-98603-101048-43785-80651+80651-17634-72429+72429-119555-181321+53312+8634+300000-13241-21950-44344-(-312)</f>
        <v>20777</v>
      </c>
      <c r="M10" s="31" t="s">
        <v>455</v>
      </c>
      <c r="N10" s="50" t="s">
        <v>290</v>
      </c>
      <c r="O10" s="19" t="s">
        <v>105</v>
      </c>
      <c r="P10" s="19" t="s">
        <v>249</v>
      </c>
      <c r="Q10" s="41">
        <v>20465</v>
      </c>
      <c r="R10" s="41">
        <v>-298</v>
      </c>
      <c r="S10" s="41">
        <f t="shared" si="1"/>
        <v>20763</v>
      </c>
      <c r="T10" s="19" t="str">
        <f t="shared" si="2"/>
        <v>X</v>
      </c>
    </row>
    <row r="11" spans="1:20" ht="27.75" customHeight="1">
      <c r="A11" s="17">
        <v>9</v>
      </c>
      <c r="B11" s="18" t="s">
        <v>44</v>
      </c>
      <c r="C11" s="8" t="s">
        <v>96</v>
      </c>
      <c r="D11" s="1" t="s">
        <v>25</v>
      </c>
      <c r="E11" s="7">
        <v>50000</v>
      </c>
      <c r="F11" s="6">
        <v>6</v>
      </c>
      <c r="G11" s="12">
        <f t="shared" si="0"/>
        <v>300000</v>
      </c>
      <c r="H11" s="87" t="s">
        <v>156</v>
      </c>
      <c r="I11" s="87" t="s">
        <v>88</v>
      </c>
      <c r="J11" s="2">
        <v>94370</v>
      </c>
      <c r="K11" s="3">
        <f>78073+300000-116550-2783-4631-24665-3654-20626-33978-56353-31566-7623-94370</f>
        <v>-18726</v>
      </c>
      <c r="L11" s="94" t="s">
        <v>26</v>
      </c>
      <c r="M11" s="31" t="s">
        <v>474</v>
      </c>
      <c r="N11" s="19" t="s">
        <v>157</v>
      </c>
      <c r="O11" s="19" t="s">
        <v>154</v>
      </c>
      <c r="P11" s="19" t="s">
        <v>249</v>
      </c>
      <c r="Q11" s="41">
        <v>75021</v>
      </c>
      <c r="R11" s="41">
        <v>161326</v>
      </c>
      <c r="S11" s="41">
        <f t="shared" si="1"/>
        <v>-86305</v>
      </c>
      <c r="T11" s="19" t="str">
        <f t="shared" si="2"/>
        <v>X</v>
      </c>
    </row>
    <row r="12" spans="1:20" ht="27.75" customHeight="1">
      <c r="A12" s="17">
        <v>10</v>
      </c>
      <c r="B12" s="14" t="s">
        <v>40</v>
      </c>
      <c r="C12" s="13" t="s">
        <v>92</v>
      </c>
      <c r="D12" s="1" t="s">
        <v>25</v>
      </c>
      <c r="E12" s="7">
        <v>50000</v>
      </c>
      <c r="F12" s="6">
        <v>6</v>
      </c>
      <c r="G12" s="12">
        <f t="shared" si="0"/>
        <v>300000</v>
      </c>
      <c r="H12" s="1" t="s">
        <v>74</v>
      </c>
      <c r="I12" s="1" t="s">
        <v>218</v>
      </c>
      <c r="J12" s="2">
        <v>-504</v>
      </c>
      <c r="K12" s="3">
        <f>62665+325825-138490-(-1302)-3503-48038-2835-13986-10080-1033-(-504)</f>
        <v>172331</v>
      </c>
      <c r="M12" s="31" t="s">
        <v>455</v>
      </c>
      <c r="N12" s="19" t="s">
        <v>209</v>
      </c>
      <c r="O12" s="19" t="s">
        <v>106</v>
      </c>
      <c r="P12" s="19" t="s">
        <v>249</v>
      </c>
      <c r="Q12" s="41">
        <v>171827</v>
      </c>
      <c r="R12" s="41">
        <v>-480</v>
      </c>
      <c r="S12" s="41">
        <f t="shared" si="1"/>
        <v>172307</v>
      </c>
      <c r="T12" s="19" t="str">
        <f t="shared" si="2"/>
        <v>X</v>
      </c>
    </row>
    <row r="13" spans="1:20" ht="27.75" customHeight="1">
      <c r="A13" s="17">
        <v>11</v>
      </c>
      <c r="B13" s="18" t="s">
        <v>44</v>
      </c>
      <c r="C13" s="8" t="s">
        <v>94</v>
      </c>
      <c r="D13" s="1" t="s">
        <v>25</v>
      </c>
      <c r="E13" s="7">
        <v>50000</v>
      </c>
      <c r="F13" s="6">
        <v>6</v>
      </c>
      <c r="G13" s="12">
        <f t="shared" si="0"/>
        <v>300000</v>
      </c>
      <c r="H13" s="1" t="s">
        <v>50</v>
      </c>
      <c r="I13" s="1" t="s">
        <v>67</v>
      </c>
      <c r="J13" s="2">
        <v>1635</v>
      </c>
      <c r="K13" s="3">
        <v>0</v>
      </c>
      <c r="L13" s="94" t="s">
        <v>26</v>
      </c>
      <c r="M13" s="31" t="s">
        <v>465</v>
      </c>
      <c r="N13" s="149" t="s">
        <v>471</v>
      </c>
      <c r="O13" s="19" t="s">
        <v>153</v>
      </c>
      <c r="P13" s="19" t="s">
        <v>249</v>
      </c>
      <c r="Q13" s="41">
        <v>0</v>
      </c>
      <c r="R13" s="41">
        <v>-1795</v>
      </c>
      <c r="S13" s="41">
        <f t="shared" si="1"/>
        <v>1795</v>
      </c>
      <c r="T13" s="19" t="str">
        <f t="shared" si="2"/>
        <v>X</v>
      </c>
    </row>
    <row r="14" spans="1:20" ht="27.75" customHeight="1">
      <c r="A14" s="17">
        <v>12</v>
      </c>
      <c r="B14" s="14" t="s">
        <v>40</v>
      </c>
      <c r="C14" s="13" t="s">
        <v>208</v>
      </c>
      <c r="D14" s="1" t="s">
        <v>15</v>
      </c>
      <c r="E14" s="7">
        <v>100000</v>
      </c>
      <c r="F14" s="6">
        <v>4</v>
      </c>
      <c r="G14" s="12">
        <f t="shared" si="0"/>
        <v>400000</v>
      </c>
      <c r="H14" s="1" t="s">
        <v>215</v>
      </c>
      <c r="I14" s="1" t="s">
        <v>216</v>
      </c>
      <c r="J14" s="2">
        <v>69258</v>
      </c>
      <c r="K14" s="3">
        <f>40795+400000-59317-2730-3-(-337)-66864-7508-12075-0-15939-6300-69258</f>
        <v>201138</v>
      </c>
      <c r="M14" s="31" t="s">
        <v>75</v>
      </c>
      <c r="N14" s="19" t="s">
        <v>213</v>
      </c>
      <c r="O14" s="19" t="s">
        <v>149</v>
      </c>
      <c r="P14" s="19" t="s">
        <v>246</v>
      </c>
      <c r="Q14" s="41">
        <v>270396</v>
      </c>
      <c r="R14" s="41">
        <v>65960</v>
      </c>
      <c r="S14" s="41">
        <f t="shared" si="1"/>
        <v>204436</v>
      </c>
      <c r="T14" s="19" t="str">
        <f t="shared" si="2"/>
        <v>X</v>
      </c>
    </row>
    <row r="15" spans="1:20" ht="27.75" customHeight="1">
      <c r="A15" s="17">
        <v>13</v>
      </c>
      <c r="B15" s="14" t="s">
        <v>40</v>
      </c>
      <c r="C15" s="13" t="s">
        <v>322</v>
      </c>
      <c r="D15" s="1" t="s">
        <v>24</v>
      </c>
      <c r="E15" s="7">
        <v>100000</v>
      </c>
      <c r="F15" s="6">
        <v>2</v>
      </c>
      <c r="G15" s="12">
        <f t="shared" si="0"/>
        <v>200000</v>
      </c>
      <c r="H15" s="1" t="s">
        <v>201</v>
      </c>
      <c r="I15" s="1" t="s">
        <v>217</v>
      </c>
      <c r="J15" s="2">
        <v>0</v>
      </c>
      <c r="K15" s="3">
        <f>-(-7344)+200000-9702</f>
        <v>197642</v>
      </c>
      <c r="M15" s="31" t="s">
        <v>465</v>
      </c>
      <c r="N15" s="19" t="s">
        <v>214</v>
      </c>
      <c r="O15" s="19" t="s">
        <v>152</v>
      </c>
      <c r="P15" s="19" t="s">
        <v>246</v>
      </c>
      <c r="Q15" s="41">
        <v>197642</v>
      </c>
      <c r="R15" s="41">
        <v>0</v>
      </c>
      <c r="S15" s="41">
        <f t="shared" si="1"/>
        <v>197642</v>
      </c>
      <c r="T15" s="19" t="str">
        <f t="shared" si="2"/>
        <v>O</v>
      </c>
    </row>
    <row r="16" spans="1:20" ht="27.75" customHeight="1">
      <c r="A16" s="17">
        <v>14</v>
      </c>
      <c r="B16" s="14" t="s">
        <v>40</v>
      </c>
      <c r="C16" s="13" t="s">
        <v>180</v>
      </c>
      <c r="D16" s="1" t="s">
        <v>25</v>
      </c>
      <c r="E16" s="7">
        <v>50000</v>
      </c>
      <c r="F16" s="6">
        <v>6</v>
      </c>
      <c r="G16" s="12">
        <f t="shared" si="0"/>
        <v>300000</v>
      </c>
      <c r="H16" s="1" t="s">
        <v>74</v>
      </c>
      <c r="I16" s="1" t="s">
        <v>218</v>
      </c>
      <c r="J16" s="2">
        <v>3910</v>
      </c>
      <c r="K16" s="3">
        <f>300000-19677-24570-5114-5027-17277-0-52504-11933-3910</f>
        <v>159988</v>
      </c>
      <c r="M16" s="31" t="s">
        <v>464</v>
      </c>
      <c r="N16" s="19" t="s">
        <v>220</v>
      </c>
      <c r="O16" s="19" t="s">
        <v>137</v>
      </c>
      <c r="P16" s="19" t="s">
        <v>247</v>
      </c>
      <c r="Q16" s="41">
        <v>163898</v>
      </c>
      <c r="R16" s="41">
        <v>3724</v>
      </c>
      <c r="S16" s="41">
        <f t="shared" si="1"/>
        <v>160174</v>
      </c>
      <c r="T16" s="19" t="str">
        <f t="shared" si="2"/>
        <v>X</v>
      </c>
    </row>
    <row r="17" spans="1:20" ht="27.75" customHeight="1">
      <c r="A17" s="17">
        <v>15</v>
      </c>
      <c r="B17" s="14" t="s">
        <v>40</v>
      </c>
      <c r="C17" s="13" t="s">
        <v>259</v>
      </c>
      <c r="D17" s="1" t="s">
        <v>25</v>
      </c>
      <c r="E17" s="7">
        <v>50000</v>
      </c>
      <c r="F17" s="6">
        <v>6</v>
      </c>
      <c r="G17" s="12">
        <f t="shared" si="0"/>
        <v>300000</v>
      </c>
      <c r="H17" s="127" t="s">
        <v>279</v>
      </c>
      <c r="I17" s="127" t="s">
        <v>399</v>
      </c>
      <c r="J17" s="2">
        <v>65034</v>
      </c>
      <c r="K17" s="3">
        <f>5398+300000-41267-20021-34671-37918-72589-84246+300000-46111-65034</f>
        <v>203541</v>
      </c>
      <c r="L17" s="133" t="s">
        <v>394</v>
      </c>
      <c r="M17" s="31" t="s">
        <v>464</v>
      </c>
      <c r="N17" s="111" t="s">
        <v>401</v>
      </c>
      <c r="O17" s="19" t="s">
        <v>151</v>
      </c>
      <c r="P17" s="19" t="s">
        <v>247</v>
      </c>
      <c r="Q17" s="41">
        <v>268575</v>
      </c>
      <c r="R17" s="41">
        <v>61938</v>
      </c>
      <c r="S17" s="41">
        <f t="shared" si="1"/>
        <v>206637</v>
      </c>
      <c r="T17" s="19" t="str">
        <f t="shared" si="2"/>
        <v>X</v>
      </c>
    </row>
    <row r="18" spans="1:20" ht="27.75" customHeight="1">
      <c r="A18" s="17">
        <v>16</v>
      </c>
      <c r="B18" s="14" t="s">
        <v>40</v>
      </c>
      <c r="C18" s="13" t="s">
        <v>181</v>
      </c>
      <c r="D18" s="1" t="s">
        <v>24</v>
      </c>
      <c r="E18" s="7">
        <v>100000</v>
      </c>
      <c r="F18" s="6">
        <v>3</v>
      </c>
      <c r="G18" s="12">
        <f t="shared" si="0"/>
        <v>300000</v>
      </c>
      <c r="H18" s="1" t="s">
        <v>279</v>
      </c>
      <c r="I18" s="1" t="s">
        <v>300</v>
      </c>
      <c r="J18" s="2">
        <v>61529</v>
      </c>
      <c r="K18" s="3">
        <f>26337-39367+300000-139673+13030-61529</f>
        <v>98798</v>
      </c>
      <c r="L18" s="107" t="s">
        <v>375</v>
      </c>
      <c r="M18" s="31" t="s">
        <v>465</v>
      </c>
      <c r="N18" s="48" t="s">
        <v>288</v>
      </c>
      <c r="O18" s="19" t="s">
        <v>155</v>
      </c>
      <c r="P18" s="19" t="s">
        <v>248</v>
      </c>
      <c r="Q18" s="41">
        <v>160327</v>
      </c>
      <c r="R18" s="41">
        <v>58599</v>
      </c>
      <c r="S18" s="41">
        <f t="shared" si="1"/>
        <v>101728</v>
      </c>
      <c r="T18" s="19" t="str">
        <f t="shared" si="2"/>
        <v>X</v>
      </c>
    </row>
    <row r="19" spans="1:20" ht="27.75" customHeight="1">
      <c r="A19" s="17">
        <v>17</v>
      </c>
      <c r="B19" s="14" t="s">
        <v>17</v>
      </c>
      <c r="C19" s="13" t="s">
        <v>173</v>
      </c>
      <c r="D19" s="1" t="s">
        <v>25</v>
      </c>
      <c r="E19" s="7">
        <v>50000</v>
      </c>
      <c r="F19" s="6">
        <v>6</v>
      </c>
      <c r="G19" s="12">
        <f t="shared" si="0"/>
        <v>300000</v>
      </c>
      <c r="H19" s="87" t="s">
        <v>255</v>
      </c>
      <c r="I19" s="1" t="s">
        <v>269</v>
      </c>
      <c r="J19" s="2">
        <v>65175</v>
      </c>
      <c r="K19" s="3">
        <f>64639+300000-141919-27715-50376-65175</f>
        <v>79454</v>
      </c>
      <c r="L19" s="93" t="s">
        <v>351</v>
      </c>
      <c r="M19" s="31" t="s">
        <v>455</v>
      </c>
      <c r="N19" s="83" t="s">
        <v>339</v>
      </c>
      <c r="O19" s="19" t="s">
        <v>107</v>
      </c>
      <c r="P19" s="19" t="s">
        <v>248</v>
      </c>
      <c r="Q19" s="41">
        <v>144629</v>
      </c>
      <c r="R19" s="41">
        <v>61396</v>
      </c>
      <c r="S19" s="41">
        <f t="shared" si="1"/>
        <v>83233</v>
      </c>
      <c r="T19" s="19" t="str">
        <f t="shared" si="2"/>
        <v>X</v>
      </c>
    </row>
    <row r="20" spans="1:20" ht="27.75" customHeight="1">
      <c r="A20" s="17">
        <v>18</v>
      </c>
      <c r="B20" s="14" t="s">
        <v>40</v>
      </c>
      <c r="C20" s="13" t="s">
        <v>182</v>
      </c>
      <c r="D20" s="1" t="s">
        <v>15</v>
      </c>
      <c r="E20" s="7">
        <v>100000</v>
      </c>
      <c r="F20" s="6">
        <v>3</v>
      </c>
      <c r="G20" s="12">
        <f t="shared" si="0"/>
        <v>300000</v>
      </c>
      <c r="H20" s="127" t="s">
        <v>292</v>
      </c>
      <c r="I20" s="127" t="s">
        <v>390</v>
      </c>
      <c r="J20" s="22">
        <v>43172</v>
      </c>
      <c r="K20" s="3">
        <f>600000-43172</f>
        <v>556828</v>
      </c>
      <c r="L20" s="134" t="s">
        <v>404</v>
      </c>
      <c r="M20" s="31" t="s">
        <v>465</v>
      </c>
      <c r="N20" s="112" t="s">
        <v>403</v>
      </c>
      <c r="O20" s="19" t="s">
        <v>126</v>
      </c>
      <c r="P20" s="34" t="s">
        <v>248</v>
      </c>
      <c r="Q20" s="41">
        <v>600000</v>
      </c>
      <c r="R20" s="41">
        <v>41116</v>
      </c>
      <c r="S20" s="41">
        <f t="shared" si="1"/>
        <v>558884</v>
      </c>
      <c r="T20" s="19" t="str">
        <f t="shared" si="2"/>
        <v>X</v>
      </c>
    </row>
    <row r="21" spans="1:20" ht="27.75" customHeight="1">
      <c r="A21" s="17">
        <v>19</v>
      </c>
      <c r="B21" s="14" t="s">
        <v>17</v>
      </c>
      <c r="C21" s="13" t="s">
        <v>306</v>
      </c>
      <c r="D21" s="1" t="s">
        <v>24</v>
      </c>
      <c r="E21" s="7">
        <v>100000</v>
      </c>
      <c r="F21" s="6">
        <v>1</v>
      </c>
      <c r="G21" s="12">
        <f t="shared" si="0"/>
        <v>100000</v>
      </c>
      <c r="H21" s="1" t="s">
        <v>307</v>
      </c>
      <c r="I21" s="1" t="s">
        <v>385</v>
      </c>
      <c r="J21" s="22">
        <v>0</v>
      </c>
      <c r="K21" s="3">
        <f>100000-18560-7812-15030</f>
        <v>58598</v>
      </c>
      <c r="L21" s="93" t="s">
        <v>347</v>
      </c>
      <c r="M21" s="31" t="s">
        <v>465</v>
      </c>
      <c r="N21" s="64" t="s">
        <v>308</v>
      </c>
      <c r="O21" s="66" t="s">
        <v>313</v>
      </c>
      <c r="P21" s="68" t="s">
        <v>314</v>
      </c>
      <c r="Q21" s="41">
        <v>58598</v>
      </c>
      <c r="R21" s="41">
        <v>0</v>
      </c>
      <c r="S21" s="41">
        <f t="shared" si="1"/>
        <v>58598</v>
      </c>
      <c r="T21" s="19" t="str">
        <f t="shared" si="2"/>
        <v>O</v>
      </c>
    </row>
    <row r="22" spans="1:20" ht="27.75" customHeight="1">
      <c r="A22" s="17">
        <v>20</v>
      </c>
      <c r="B22" s="18" t="s">
        <v>44</v>
      </c>
      <c r="C22" s="8" t="s">
        <v>231</v>
      </c>
      <c r="D22" s="1" t="s">
        <v>24</v>
      </c>
      <c r="E22" s="7">
        <v>100000</v>
      </c>
      <c r="F22" s="6">
        <v>3</v>
      </c>
      <c r="G22" s="12">
        <f t="shared" si="0"/>
        <v>300000</v>
      </c>
      <c r="H22" s="85" t="s">
        <v>292</v>
      </c>
      <c r="I22" s="85" t="s">
        <v>437</v>
      </c>
      <c r="J22" s="2">
        <v>196351</v>
      </c>
      <c r="K22" s="3">
        <f>107380-196351+300000</f>
        <v>211029</v>
      </c>
      <c r="L22" s="143" t="s">
        <v>456</v>
      </c>
      <c r="M22" s="31" t="s">
        <v>455</v>
      </c>
      <c r="N22" s="145" t="s">
        <v>457</v>
      </c>
      <c r="O22" s="19" t="s">
        <v>166</v>
      </c>
      <c r="P22" s="19" t="s">
        <v>248</v>
      </c>
      <c r="Q22" s="41">
        <v>107380</v>
      </c>
      <c r="R22" s="41">
        <v>187001</v>
      </c>
      <c r="S22" s="41">
        <f t="shared" si="1"/>
        <v>-79621</v>
      </c>
      <c r="T22" s="19" t="str">
        <f t="shared" si="2"/>
        <v>X</v>
      </c>
    </row>
    <row r="23" spans="1:20" ht="27.75" customHeight="1">
      <c r="A23" s="17">
        <v>21</v>
      </c>
      <c r="B23" s="14" t="s">
        <v>17</v>
      </c>
      <c r="C23" s="13" t="s">
        <v>232</v>
      </c>
      <c r="D23" s="1" t="s">
        <v>15</v>
      </c>
      <c r="E23" s="7">
        <v>200000</v>
      </c>
      <c r="F23" s="6">
        <v>6</v>
      </c>
      <c r="G23" s="12">
        <f>E23*F23</f>
        <v>1200000</v>
      </c>
      <c r="H23" s="1" t="s">
        <v>202</v>
      </c>
      <c r="I23" s="1" t="s">
        <v>292</v>
      </c>
      <c r="J23" s="2">
        <v>138647</v>
      </c>
      <c r="K23" s="3">
        <f>28769+200000*6-219109-241221-133770-68149-49980-138647</f>
        <v>377893</v>
      </c>
      <c r="L23" s="50" t="s">
        <v>291</v>
      </c>
      <c r="M23" s="31" t="s">
        <v>460</v>
      </c>
      <c r="N23" s="51" t="s">
        <v>293</v>
      </c>
      <c r="O23" s="19" t="s">
        <v>119</v>
      </c>
      <c r="P23" s="19" t="s">
        <v>246</v>
      </c>
      <c r="Q23" s="41">
        <v>516540</v>
      </c>
      <c r="R23" s="41">
        <v>134119</v>
      </c>
      <c r="S23" s="41">
        <f t="shared" si="1"/>
        <v>382421</v>
      </c>
      <c r="T23" s="19" t="str">
        <f t="shared" si="2"/>
        <v>X</v>
      </c>
    </row>
    <row r="24" spans="1:20" ht="27.75" customHeight="1">
      <c r="A24" s="17">
        <v>22</v>
      </c>
      <c r="B24" s="14" t="s">
        <v>40</v>
      </c>
      <c r="C24" s="13" t="s">
        <v>97</v>
      </c>
      <c r="D24" s="1" t="s">
        <v>24</v>
      </c>
      <c r="E24" s="7">
        <v>100000</v>
      </c>
      <c r="F24" s="6">
        <v>3</v>
      </c>
      <c r="G24" s="12">
        <f t="shared" si="0"/>
        <v>300000</v>
      </c>
      <c r="H24" s="127" t="s">
        <v>292</v>
      </c>
      <c r="I24" s="127" t="s">
        <v>437</v>
      </c>
      <c r="J24" s="2">
        <v>106421</v>
      </c>
      <c r="K24" s="3">
        <f>300000-106421</f>
        <v>193579</v>
      </c>
      <c r="L24" s="128" t="s">
        <v>435</v>
      </c>
      <c r="M24" s="31" t="s">
        <v>75</v>
      </c>
      <c r="N24" s="130" t="s">
        <v>436</v>
      </c>
      <c r="O24" s="19" t="s">
        <v>150</v>
      </c>
      <c r="P24" s="19" t="s">
        <v>246</v>
      </c>
      <c r="Q24" s="41">
        <v>300000</v>
      </c>
      <c r="R24" s="41">
        <v>103713</v>
      </c>
      <c r="S24" s="41">
        <f t="shared" si="1"/>
        <v>196287</v>
      </c>
      <c r="T24" s="19" t="str">
        <f t="shared" si="2"/>
        <v>X</v>
      </c>
    </row>
    <row r="25" spans="1:20" ht="27.75" customHeight="1">
      <c r="A25" s="17">
        <v>23</v>
      </c>
      <c r="B25" s="14" t="s">
        <v>17</v>
      </c>
      <c r="C25" s="13" t="s">
        <v>233</v>
      </c>
      <c r="D25" s="1" t="s">
        <v>24</v>
      </c>
      <c r="E25" s="7">
        <v>100000</v>
      </c>
      <c r="F25" s="6">
        <v>3</v>
      </c>
      <c r="G25" s="12">
        <f t="shared" si="0"/>
        <v>300000</v>
      </c>
      <c r="H25" s="87" t="s">
        <v>255</v>
      </c>
      <c r="I25" s="1" t="s">
        <v>279</v>
      </c>
      <c r="J25" s="2">
        <v>37800</v>
      </c>
      <c r="K25" s="3">
        <f>300000-91585-49449-41192-37800</f>
        <v>79974</v>
      </c>
      <c r="L25" s="93" t="s">
        <v>348</v>
      </c>
      <c r="M25" s="31" t="s">
        <v>455</v>
      </c>
      <c r="N25" s="81" t="s">
        <v>335</v>
      </c>
      <c r="O25" s="19" t="s">
        <v>108</v>
      </c>
      <c r="P25" s="19" t="s">
        <v>248</v>
      </c>
      <c r="Q25" s="41">
        <v>117774</v>
      </c>
      <c r="R25" s="41">
        <v>36000</v>
      </c>
      <c r="S25" s="41">
        <f t="shared" si="1"/>
        <v>81774</v>
      </c>
      <c r="T25" s="19" t="str">
        <f t="shared" si="2"/>
        <v>X</v>
      </c>
    </row>
    <row r="26" spans="1:20" ht="27.75" customHeight="1">
      <c r="A26" s="17">
        <v>24</v>
      </c>
      <c r="B26" s="14" t="s">
        <v>40</v>
      </c>
      <c r="C26" s="13" t="s">
        <v>183</v>
      </c>
      <c r="D26" s="1" t="s">
        <v>16</v>
      </c>
      <c r="E26" s="7">
        <v>50000</v>
      </c>
      <c r="F26" s="6">
        <v>6</v>
      </c>
      <c r="G26" s="12">
        <f t="shared" si="0"/>
        <v>300000</v>
      </c>
      <c r="H26" s="1" t="s">
        <v>224</v>
      </c>
      <c r="I26" s="1" t="s">
        <v>225</v>
      </c>
      <c r="J26" s="2">
        <v>12367</v>
      </c>
      <c r="K26" s="3">
        <f>-6222+6222+300000-17616-11443-4599-4735-23895-15681-(-3024)-12367</f>
        <v>212688</v>
      </c>
      <c r="M26" s="31" t="s">
        <v>455</v>
      </c>
      <c r="N26" s="20" t="s">
        <v>223</v>
      </c>
      <c r="O26" s="19" t="s">
        <v>113</v>
      </c>
      <c r="P26" s="19" t="s">
        <v>248</v>
      </c>
      <c r="Q26" s="41">
        <v>225055</v>
      </c>
      <c r="R26" s="41">
        <v>11778</v>
      </c>
      <c r="S26" s="41">
        <f t="shared" si="1"/>
        <v>213277</v>
      </c>
      <c r="T26" s="19" t="str">
        <f t="shared" si="2"/>
        <v>X</v>
      </c>
    </row>
    <row r="27" spans="1:20" ht="27.75" customHeight="1">
      <c r="A27" s="17">
        <v>25</v>
      </c>
      <c r="B27" s="30" t="s">
        <v>21</v>
      </c>
      <c r="C27" s="25" t="s">
        <v>234</v>
      </c>
      <c r="D27" s="1" t="s">
        <v>16</v>
      </c>
      <c r="E27" s="7">
        <v>50000</v>
      </c>
      <c r="F27" s="6">
        <v>6</v>
      </c>
      <c r="G27" s="12">
        <f t="shared" si="0"/>
        <v>300000</v>
      </c>
      <c r="H27" s="86" t="s">
        <v>70</v>
      </c>
      <c r="I27" s="86" t="s">
        <v>74</v>
      </c>
      <c r="J27" s="2">
        <v>14280</v>
      </c>
      <c r="K27" s="3">
        <f>5056+300000-50394-3494-5926+395-41815+542-5514-1050-18419-46691-6440-30655-8017-17203+1179+752-36814-19404-7261-11151+300000-2526-5941-23890+5433-62110-125276-(-1491)-10319-9330-31406-(-821)-714-1982-9788-J27</f>
        <v>7859</v>
      </c>
      <c r="M27" s="31" t="s">
        <v>455</v>
      </c>
      <c r="O27" s="19" t="s">
        <v>134</v>
      </c>
      <c r="P27" s="19" t="s">
        <v>247</v>
      </c>
      <c r="Q27" s="41">
        <v>22139</v>
      </c>
      <c r="R27" s="41">
        <v>13600</v>
      </c>
      <c r="S27" s="41">
        <f t="shared" si="1"/>
        <v>8539</v>
      </c>
      <c r="T27" s="19" t="str">
        <f t="shared" si="2"/>
        <v>X</v>
      </c>
    </row>
    <row r="28" spans="1:20" ht="27.75" customHeight="1">
      <c r="A28" s="17">
        <v>26</v>
      </c>
      <c r="B28" s="18" t="s">
        <v>44</v>
      </c>
      <c r="C28" s="8" t="s">
        <v>184</v>
      </c>
      <c r="D28" s="1" t="s">
        <v>15</v>
      </c>
      <c r="E28" s="7">
        <v>100000</v>
      </c>
      <c r="F28" s="6">
        <v>6</v>
      </c>
      <c r="G28" s="12">
        <f t="shared" si="0"/>
        <v>600000</v>
      </c>
      <c r="H28" s="85" t="s">
        <v>292</v>
      </c>
      <c r="I28" s="85" t="s">
        <v>437</v>
      </c>
      <c r="J28" s="2">
        <v>117740</v>
      </c>
      <c r="K28" s="3">
        <f>300000-117740</f>
        <v>182260</v>
      </c>
      <c r="L28" s="143" t="s">
        <v>458</v>
      </c>
      <c r="M28" s="31" t="s">
        <v>455</v>
      </c>
      <c r="N28" s="144" t="s">
        <v>459</v>
      </c>
      <c r="O28" s="19" t="s">
        <v>118</v>
      </c>
      <c r="P28" s="19" t="s">
        <v>248</v>
      </c>
      <c r="Q28" s="41">
        <v>0</v>
      </c>
      <c r="R28" s="41">
        <v>112133</v>
      </c>
      <c r="S28" s="41">
        <f t="shared" si="1"/>
        <v>-112133</v>
      </c>
      <c r="T28" s="19" t="str">
        <f t="shared" si="2"/>
        <v>X</v>
      </c>
    </row>
    <row r="29" spans="1:20" ht="27.75" customHeight="1">
      <c r="A29" s="17">
        <v>27</v>
      </c>
      <c r="B29" s="18" t="s">
        <v>44</v>
      </c>
      <c r="C29" s="8" t="s">
        <v>95</v>
      </c>
      <c r="D29" s="1" t="s">
        <v>16</v>
      </c>
      <c r="E29" s="7">
        <v>50000</v>
      </c>
      <c r="F29" s="6">
        <v>5</v>
      </c>
      <c r="G29" s="12">
        <f t="shared" si="0"/>
        <v>250000</v>
      </c>
      <c r="H29" s="1" t="s">
        <v>12</v>
      </c>
      <c r="I29" s="1" t="s">
        <v>6</v>
      </c>
      <c r="J29" s="2">
        <v>0</v>
      </c>
      <c r="K29" s="3">
        <v>0</v>
      </c>
      <c r="L29" s="94" t="s">
        <v>26</v>
      </c>
      <c r="M29" s="31" t="s">
        <v>465</v>
      </c>
      <c r="O29" s="19" t="s">
        <v>144</v>
      </c>
      <c r="P29" s="19" t="s">
        <v>248</v>
      </c>
      <c r="Q29" s="41">
        <v>0</v>
      </c>
      <c r="R29" s="41">
        <v>0</v>
      </c>
      <c r="S29" s="41">
        <f t="shared" si="1"/>
        <v>0</v>
      </c>
      <c r="T29" s="19" t="str">
        <f t="shared" si="2"/>
        <v>O</v>
      </c>
    </row>
    <row r="30" spans="1:20" ht="27.75" customHeight="1">
      <c r="A30" s="17">
        <v>28</v>
      </c>
      <c r="B30" s="16" t="s">
        <v>45</v>
      </c>
      <c r="C30" s="9" t="s">
        <v>235</v>
      </c>
      <c r="D30" s="1" t="s">
        <v>24</v>
      </c>
      <c r="E30" s="7">
        <v>100000</v>
      </c>
      <c r="F30" s="6">
        <v>3</v>
      </c>
      <c r="G30" s="12">
        <f t="shared" si="0"/>
        <v>300000</v>
      </c>
      <c r="H30" s="89" t="s">
        <v>36</v>
      </c>
      <c r="I30" s="89" t="s">
        <v>37</v>
      </c>
      <c r="J30" s="2">
        <v>0</v>
      </c>
      <c r="K30" s="3">
        <f>300000-27106-7984+744-10032-5400-19720-15831+7454-480-9070-1350-34914-15040-2224-12250-25032-24935-1076-9907-12600-16065-479-9210-28726+300000-66654-10173-10735+851-19920+41-8484-11510-147-20475-788+394-7088-1663-3528-11059-(-4200)</f>
        <v>152029</v>
      </c>
      <c r="M30" s="31" t="s">
        <v>465</v>
      </c>
      <c r="N30" s="93" t="s">
        <v>359</v>
      </c>
      <c r="O30" s="19" t="s">
        <v>174</v>
      </c>
      <c r="P30" s="19" t="s">
        <v>248</v>
      </c>
      <c r="Q30" s="41">
        <v>152029</v>
      </c>
      <c r="R30" s="41">
        <v>0</v>
      </c>
      <c r="S30" s="41">
        <f t="shared" si="1"/>
        <v>152029</v>
      </c>
      <c r="T30" s="19" t="str">
        <f t="shared" si="2"/>
        <v>O</v>
      </c>
    </row>
    <row r="31" spans="1:20" ht="27.75" customHeight="1">
      <c r="A31" s="17">
        <v>29</v>
      </c>
      <c r="B31" s="14" t="s">
        <v>40</v>
      </c>
      <c r="C31" s="13" t="s">
        <v>236</v>
      </c>
      <c r="D31" s="1" t="s">
        <v>25</v>
      </c>
      <c r="E31" s="7">
        <v>50000</v>
      </c>
      <c r="F31" s="6">
        <v>6</v>
      </c>
      <c r="G31" s="12">
        <f t="shared" si="0"/>
        <v>300000</v>
      </c>
      <c r="H31" s="87" t="s">
        <v>224</v>
      </c>
      <c r="I31" s="1" t="s">
        <v>255</v>
      </c>
      <c r="J31" s="2">
        <v>52332</v>
      </c>
      <c r="K31" s="3">
        <f>300000-66540-83542+82-69228+69228-(-5909)-11324-2168-(-1287)-6613-52332</f>
        <v>84759</v>
      </c>
      <c r="L31" s="93" t="s">
        <v>352</v>
      </c>
      <c r="M31" s="31" t="s">
        <v>455</v>
      </c>
      <c r="N31" s="46" t="s">
        <v>281</v>
      </c>
      <c r="O31" s="19" t="s">
        <v>109</v>
      </c>
      <c r="P31" s="19" t="s">
        <v>248</v>
      </c>
      <c r="Q31" s="41">
        <v>137091</v>
      </c>
      <c r="R31" s="41">
        <v>49840</v>
      </c>
      <c r="S31" s="41">
        <f t="shared" si="1"/>
        <v>87251</v>
      </c>
      <c r="T31" s="19" t="str">
        <f t="shared" si="2"/>
        <v>X</v>
      </c>
    </row>
    <row r="32" spans="1:20" ht="27.75" customHeight="1">
      <c r="A32" s="17">
        <v>30</v>
      </c>
      <c r="B32" s="14" t="s">
        <v>40</v>
      </c>
      <c r="C32" s="13" t="s">
        <v>185</v>
      </c>
      <c r="D32" s="1" t="s">
        <v>25</v>
      </c>
      <c r="E32" s="7">
        <v>50000</v>
      </c>
      <c r="F32" s="6">
        <v>6</v>
      </c>
      <c r="G32" s="12">
        <f t="shared" si="0"/>
        <v>300000</v>
      </c>
      <c r="H32" s="1" t="s">
        <v>224</v>
      </c>
      <c r="I32" s="1" t="s">
        <v>258</v>
      </c>
      <c r="J32" s="2">
        <v>23237</v>
      </c>
      <c r="K32" s="3">
        <f>300000-18270-(-1691)-43065-(-6831)-2205-12285-23237</f>
        <v>209460</v>
      </c>
      <c r="L32" s="93" t="s">
        <v>353</v>
      </c>
      <c r="M32" s="31" t="s">
        <v>460</v>
      </c>
      <c r="N32" s="19" t="s">
        <v>257</v>
      </c>
      <c r="O32" s="19" t="s">
        <v>165</v>
      </c>
      <c r="P32" s="19" t="s">
        <v>248</v>
      </c>
      <c r="Q32" s="41">
        <v>232697</v>
      </c>
      <c r="R32" s="41">
        <v>22130</v>
      </c>
      <c r="S32" s="41">
        <f t="shared" si="1"/>
        <v>210567</v>
      </c>
      <c r="T32" s="19" t="str">
        <f t="shared" si="2"/>
        <v>X</v>
      </c>
    </row>
    <row r="33" spans="1:20" ht="27.75" customHeight="1">
      <c r="A33" s="17">
        <v>31</v>
      </c>
      <c r="B33" s="14" t="s">
        <v>40</v>
      </c>
      <c r="C33" s="13" t="s">
        <v>237</v>
      </c>
      <c r="D33" s="1" t="s">
        <v>25</v>
      </c>
      <c r="E33" s="7">
        <v>50000</v>
      </c>
      <c r="F33" s="6">
        <v>6</v>
      </c>
      <c r="G33" s="12">
        <f t="shared" si="0"/>
        <v>300000</v>
      </c>
      <c r="H33" s="1" t="s">
        <v>78</v>
      </c>
      <c r="I33" s="1" t="s">
        <v>79</v>
      </c>
      <c r="J33" s="2">
        <v>20185</v>
      </c>
      <c r="K33" s="3">
        <f>300000-1575-11493-24695-24228-2628-2836-(-474)-84-30496-706-9307-20185</f>
        <v>172241</v>
      </c>
      <c r="M33" s="31" t="s">
        <v>455</v>
      </c>
      <c r="O33" s="19" t="s">
        <v>114</v>
      </c>
      <c r="P33" s="19" t="s">
        <v>249</v>
      </c>
      <c r="Q33" s="41">
        <v>192426</v>
      </c>
      <c r="R33" s="41">
        <v>19224</v>
      </c>
      <c r="S33" s="41">
        <f t="shared" si="1"/>
        <v>173202</v>
      </c>
      <c r="T33" s="19" t="str">
        <f t="shared" si="2"/>
        <v>X</v>
      </c>
    </row>
    <row r="34" spans="1:20" ht="27.75" customHeight="1">
      <c r="A34" s="17">
        <v>32</v>
      </c>
      <c r="B34" s="14" t="s">
        <v>40</v>
      </c>
      <c r="C34" s="13" t="s">
        <v>238</v>
      </c>
      <c r="D34" s="1" t="s">
        <v>24</v>
      </c>
      <c r="E34" s="7">
        <v>300000</v>
      </c>
      <c r="F34" s="6">
        <v>1</v>
      </c>
      <c r="G34" s="12">
        <f t="shared" si="0"/>
        <v>300000</v>
      </c>
      <c r="H34" s="127" t="s">
        <v>269</v>
      </c>
      <c r="I34" s="127" t="s">
        <v>300</v>
      </c>
      <c r="J34" s="2">
        <v>13064</v>
      </c>
      <c r="K34" s="3">
        <f>300000-14112-19950-14213-(-2205)-110143-101388-(-68397)-66035-49812+5828-26796+300000-13064</f>
        <v>260917</v>
      </c>
      <c r="L34" s="128" t="s">
        <v>435</v>
      </c>
      <c r="M34" s="31" t="s">
        <v>460</v>
      </c>
      <c r="N34" s="130" t="s">
        <v>439</v>
      </c>
      <c r="O34" s="19" t="s">
        <v>110</v>
      </c>
      <c r="P34" s="19" t="s">
        <v>248</v>
      </c>
      <c r="Q34" s="41">
        <v>273981</v>
      </c>
      <c r="R34" s="41">
        <v>12442</v>
      </c>
      <c r="S34" s="41">
        <f t="shared" si="1"/>
        <v>261539</v>
      </c>
      <c r="T34" s="19" t="str">
        <f t="shared" si="2"/>
        <v>X</v>
      </c>
    </row>
    <row r="35" spans="1:20" ht="27.75" customHeight="1">
      <c r="A35" s="17">
        <v>33</v>
      </c>
      <c r="B35" s="30" t="s">
        <v>21</v>
      </c>
      <c r="C35" s="25" t="s">
        <v>80</v>
      </c>
      <c r="D35" s="1" t="s">
        <v>25</v>
      </c>
      <c r="E35" s="7">
        <v>100000</v>
      </c>
      <c r="F35" s="6">
        <v>1</v>
      </c>
      <c r="G35" s="12">
        <f t="shared" si="0"/>
        <v>100000</v>
      </c>
      <c r="H35" s="86" t="s">
        <v>67</v>
      </c>
      <c r="I35" s="86" t="s">
        <v>71</v>
      </c>
      <c r="J35" s="2">
        <v>55692</v>
      </c>
      <c r="K35" s="3">
        <f>300000-7054+7054-1793+620-9782-10197-580-3455-540-292-20540-15330-5712-55692</f>
        <v>176707</v>
      </c>
      <c r="M35" s="31" t="s">
        <v>460</v>
      </c>
      <c r="N35" s="20" t="s">
        <v>83</v>
      </c>
      <c r="O35" s="19" t="s">
        <v>167</v>
      </c>
      <c r="P35" s="19" t="s">
        <v>248</v>
      </c>
      <c r="Q35" s="41">
        <v>232399</v>
      </c>
      <c r="R35" s="41">
        <v>53040</v>
      </c>
      <c r="S35" s="41">
        <f t="shared" si="1"/>
        <v>179359</v>
      </c>
      <c r="T35" s="19" t="str">
        <f t="shared" si="2"/>
        <v>X</v>
      </c>
    </row>
    <row r="36" spans="1:20" ht="27.75" customHeight="1">
      <c r="A36" s="17">
        <v>34</v>
      </c>
      <c r="B36" s="14" t="s">
        <v>40</v>
      </c>
      <c r="C36" s="13" t="s">
        <v>239</v>
      </c>
      <c r="D36" s="1" t="s">
        <v>24</v>
      </c>
      <c r="E36" s="7">
        <v>100000</v>
      </c>
      <c r="F36" s="6">
        <v>3</v>
      </c>
      <c r="G36" s="12">
        <f t="shared" si="0"/>
        <v>300000</v>
      </c>
      <c r="H36" s="87" t="s">
        <v>382</v>
      </c>
      <c r="I36" s="1" t="s">
        <v>383</v>
      </c>
      <c r="J36" s="2">
        <v>25229</v>
      </c>
      <c r="K36" s="3">
        <f>300000-85279-24730-25229</f>
        <v>164762</v>
      </c>
      <c r="L36" s="107" t="s">
        <v>375</v>
      </c>
      <c r="M36" s="31" t="s">
        <v>473</v>
      </c>
      <c r="N36" s="102" t="s">
        <v>376</v>
      </c>
      <c r="O36" s="19" t="s">
        <v>123</v>
      </c>
      <c r="P36" s="19" t="s">
        <v>248</v>
      </c>
      <c r="Q36" s="41">
        <v>189991</v>
      </c>
      <c r="R36" s="41">
        <v>24028</v>
      </c>
      <c r="S36" s="41">
        <f t="shared" si="1"/>
        <v>165963</v>
      </c>
      <c r="T36" s="19" t="str">
        <f t="shared" si="2"/>
        <v>X</v>
      </c>
    </row>
    <row r="37" spans="1:20" ht="27.75" customHeight="1">
      <c r="A37" s="17">
        <v>35</v>
      </c>
      <c r="B37" s="14" t="s">
        <v>40</v>
      </c>
      <c r="C37" s="13" t="s">
        <v>193</v>
      </c>
      <c r="D37" s="1" t="s">
        <v>25</v>
      </c>
      <c r="E37" s="7">
        <v>50000</v>
      </c>
      <c r="F37" s="6">
        <v>6</v>
      </c>
      <c r="G37" s="12">
        <f t="shared" si="0"/>
        <v>300000</v>
      </c>
      <c r="H37" s="131" t="s">
        <v>221</v>
      </c>
      <c r="I37" s="127" t="s">
        <v>39</v>
      </c>
      <c r="J37" s="2">
        <v>0</v>
      </c>
      <c r="K37" s="3">
        <f>50000+4200+50000+100000+50000+50000-2268-9293-2258-189-1990-40786-9614-50123-(-529)-88767-88079-630-28350+17618</f>
        <v>0</v>
      </c>
      <c r="L37" s="137" t="s">
        <v>447</v>
      </c>
      <c r="M37" s="31" t="s">
        <v>465</v>
      </c>
      <c r="N37" s="136" t="s">
        <v>446</v>
      </c>
      <c r="O37" s="19" t="s">
        <v>186</v>
      </c>
      <c r="P37" s="19" t="s">
        <v>247</v>
      </c>
      <c r="Q37" s="41">
        <v>0</v>
      </c>
      <c r="R37" s="41">
        <v>0</v>
      </c>
      <c r="S37" s="41">
        <f t="shared" si="1"/>
        <v>0</v>
      </c>
      <c r="T37" s="19" t="str">
        <f t="shared" si="2"/>
        <v>O</v>
      </c>
    </row>
    <row r="38" spans="1:20" ht="27.75" customHeight="1">
      <c r="A38" s="17">
        <v>36</v>
      </c>
      <c r="B38" s="30" t="s">
        <v>21</v>
      </c>
      <c r="C38" s="25" t="s">
        <v>240</v>
      </c>
      <c r="D38" s="1" t="s">
        <v>25</v>
      </c>
      <c r="E38" s="7">
        <v>50000</v>
      </c>
      <c r="F38" s="6">
        <v>6</v>
      </c>
      <c r="G38" s="12">
        <f t="shared" si="0"/>
        <v>300000</v>
      </c>
      <c r="H38" s="92" t="s">
        <v>66</v>
      </c>
      <c r="I38" s="86" t="s">
        <v>77</v>
      </c>
      <c r="J38" s="2">
        <v>16905</v>
      </c>
      <c r="K38" s="3">
        <f>300000-42601-26251-5663+1760-3512-5670-0-16905</f>
        <v>201158</v>
      </c>
      <c r="M38" s="31" t="s">
        <v>460</v>
      </c>
      <c r="N38" s="146" t="s">
        <v>461</v>
      </c>
      <c r="O38" s="19" t="s">
        <v>111</v>
      </c>
      <c r="P38" s="19" t="s">
        <v>248</v>
      </c>
      <c r="Q38" s="41">
        <v>218063</v>
      </c>
      <c r="R38" s="41">
        <v>16100</v>
      </c>
      <c r="S38" s="41">
        <f t="shared" si="1"/>
        <v>201963</v>
      </c>
      <c r="T38" s="19" t="str">
        <f t="shared" si="2"/>
        <v>X</v>
      </c>
    </row>
    <row r="39" spans="1:20" ht="27.75" customHeight="1">
      <c r="A39" s="17">
        <v>37</v>
      </c>
      <c r="B39" s="14" t="s">
        <v>17</v>
      </c>
      <c r="C39" s="13" t="s">
        <v>43</v>
      </c>
      <c r="D39" s="1" t="s">
        <v>24</v>
      </c>
      <c r="E39" s="7">
        <v>100000</v>
      </c>
      <c r="F39" s="6">
        <v>3</v>
      </c>
      <c r="G39" s="12">
        <f t="shared" si="0"/>
        <v>300000</v>
      </c>
      <c r="H39" s="87" t="s">
        <v>255</v>
      </c>
      <c r="I39" s="1" t="s">
        <v>279</v>
      </c>
      <c r="J39" s="2">
        <v>-261</v>
      </c>
      <c r="K39" s="3">
        <f>24327-35349+311022-2940-18543-(-261)</f>
        <v>278778</v>
      </c>
      <c r="L39" s="93" t="s">
        <v>354</v>
      </c>
      <c r="M39" s="31" t="s">
        <v>460</v>
      </c>
      <c r="N39" s="19" t="s">
        <v>212</v>
      </c>
      <c r="O39" s="19" t="s">
        <v>112</v>
      </c>
      <c r="P39" s="19" t="s">
        <v>248</v>
      </c>
      <c r="Q39" s="41">
        <v>278517</v>
      </c>
      <c r="R39" s="41">
        <v>-249</v>
      </c>
      <c r="S39" s="41">
        <f t="shared" si="1"/>
        <v>278766</v>
      </c>
      <c r="T39" s="19" t="str">
        <f t="shared" si="2"/>
        <v>X</v>
      </c>
    </row>
    <row r="40" spans="1:20" ht="27.75" customHeight="1">
      <c r="A40" s="17">
        <v>38</v>
      </c>
      <c r="B40" s="16" t="s">
        <v>45</v>
      </c>
      <c r="C40" s="9" t="s">
        <v>59</v>
      </c>
      <c r="D40" s="1" t="s">
        <v>60</v>
      </c>
      <c r="E40" s="7">
        <v>30000</v>
      </c>
      <c r="F40" s="6">
        <v>3</v>
      </c>
      <c r="G40" s="12">
        <f t="shared" si="0"/>
        <v>90000</v>
      </c>
      <c r="H40" s="90" t="s">
        <v>49</v>
      </c>
      <c r="I40" s="90" t="s">
        <v>58</v>
      </c>
      <c r="J40" s="2">
        <v>5513</v>
      </c>
      <c r="K40" s="3">
        <f>90000-16298-1806-7088+1418-15750-(-1796)-4709-9881-4662-88-7820-18257-(-1117)-(-40)-5513</f>
        <v>2499</v>
      </c>
      <c r="M40" s="31" t="s">
        <v>474</v>
      </c>
      <c r="N40" s="93" t="s">
        <v>361</v>
      </c>
      <c r="O40" s="19" t="s">
        <v>133</v>
      </c>
      <c r="P40" s="19" t="s">
        <v>247</v>
      </c>
      <c r="Q40" s="41">
        <v>8012</v>
      </c>
      <c r="R40" s="41">
        <v>5250</v>
      </c>
      <c r="S40" s="41">
        <f t="shared" si="1"/>
        <v>2762</v>
      </c>
      <c r="T40" s="19" t="str">
        <f t="shared" si="2"/>
        <v>X</v>
      </c>
    </row>
    <row r="41" spans="1:20" ht="27.75" customHeight="1">
      <c r="A41" s="17">
        <v>39</v>
      </c>
      <c r="B41" s="18" t="s">
        <v>93</v>
      </c>
      <c r="C41" s="8" t="s">
        <v>41</v>
      </c>
      <c r="D41" s="1" t="s">
        <v>24</v>
      </c>
      <c r="E41" s="7">
        <v>100000</v>
      </c>
      <c r="F41" s="6">
        <v>3</v>
      </c>
      <c r="G41" s="12">
        <v>300000</v>
      </c>
      <c r="H41" s="87" t="s">
        <v>200</v>
      </c>
      <c r="I41" s="87" t="s">
        <v>200</v>
      </c>
      <c r="J41" s="2">
        <v>5943</v>
      </c>
      <c r="K41" s="3">
        <f>0-38834+39200-(-2260)-50705+48079-5943</f>
        <v>-5943</v>
      </c>
      <c r="L41" s="94" t="s">
        <v>26</v>
      </c>
      <c r="M41" s="31" t="s">
        <v>474</v>
      </c>
      <c r="N41" s="19" t="s">
        <v>197</v>
      </c>
      <c r="O41" s="19" t="s">
        <v>125</v>
      </c>
      <c r="P41" s="19" t="s">
        <v>246</v>
      </c>
      <c r="Q41" s="41">
        <v>0</v>
      </c>
      <c r="R41" s="41">
        <v>5660</v>
      </c>
      <c r="S41" s="41">
        <f t="shared" si="1"/>
        <v>-5660</v>
      </c>
      <c r="T41" s="19" t="str">
        <f t="shared" si="2"/>
        <v>X</v>
      </c>
    </row>
    <row r="42" spans="1:20" ht="27.75" customHeight="1">
      <c r="A42" s="17">
        <v>40</v>
      </c>
      <c r="B42" s="14" t="s">
        <v>17</v>
      </c>
      <c r="C42" s="13" t="s">
        <v>98</v>
      </c>
      <c r="D42" s="1" t="s">
        <v>25</v>
      </c>
      <c r="E42" s="7">
        <v>50000</v>
      </c>
      <c r="F42" s="6">
        <v>6</v>
      </c>
      <c r="G42" s="12">
        <f t="shared" si="0"/>
        <v>300000</v>
      </c>
      <c r="H42" s="1" t="s">
        <v>202</v>
      </c>
      <c r="I42" s="1" t="s">
        <v>300</v>
      </c>
      <c r="J42" s="2">
        <v>4410</v>
      </c>
      <c r="K42" s="3">
        <f>42670+309800-102470-54520+4520-45003-122269+71544-4272-4410</f>
        <v>95590</v>
      </c>
      <c r="L42" s="59" t="s">
        <v>301</v>
      </c>
      <c r="M42" s="31" t="s">
        <v>455</v>
      </c>
      <c r="N42" s="61" t="s">
        <v>304</v>
      </c>
      <c r="O42" s="19" t="s">
        <v>139</v>
      </c>
      <c r="P42" s="19" t="s">
        <v>249</v>
      </c>
      <c r="Q42" s="41">
        <v>100000</v>
      </c>
      <c r="R42" s="41">
        <v>4200</v>
      </c>
      <c r="S42" s="41">
        <f t="shared" si="1"/>
        <v>95800</v>
      </c>
      <c r="T42" s="19" t="str">
        <f t="shared" si="2"/>
        <v>X</v>
      </c>
    </row>
    <row r="43" spans="1:20" ht="27.75" customHeight="1">
      <c r="A43" s="17">
        <v>41</v>
      </c>
      <c r="B43" s="14" t="s">
        <v>40</v>
      </c>
      <c r="C43" s="13" t="s">
        <v>241</v>
      </c>
      <c r="D43" s="1" t="s">
        <v>25</v>
      </c>
      <c r="E43" s="7">
        <v>50000</v>
      </c>
      <c r="F43" s="6">
        <v>6</v>
      </c>
      <c r="G43" s="12">
        <f t="shared" si="0"/>
        <v>300000</v>
      </c>
      <c r="H43" s="1" t="s">
        <v>138</v>
      </c>
      <c r="I43" s="1" t="s">
        <v>279</v>
      </c>
      <c r="J43" s="2">
        <v>13684</v>
      </c>
      <c r="K43" s="3">
        <f>300000-29215-14931-13608-(-2132)-12474-13684</f>
        <v>218220</v>
      </c>
      <c r="L43" s="93" t="s">
        <v>355</v>
      </c>
      <c r="M43" s="31" t="s">
        <v>455</v>
      </c>
      <c r="N43" s="45" t="s">
        <v>280</v>
      </c>
      <c r="O43" s="19" t="s">
        <v>128</v>
      </c>
      <c r="P43" s="19" t="s">
        <v>247</v>
      </c>
      <c r="Q43" s="41">
        <v>231904</v>
      </c>
      <c r="R43" s="41">
        <v>13032</v>
      </c>
      <c r="S43" s="41">
        <f t="shared" si="1"/>
        <v>218872</v>
      </c>
      <c r="T43" s="19" t="str">
        <f t="shared" si="2"/>
        <v>X</v>
      </c>
    </row>
    <row r="44" spans="1:20" ht="27.75" customHeight="1">
      <c r="A44" s="17">
        <v>42</v>
      </c>
      <c r="B44" s="14" t="s">
        <v>40</v>
      </c>
      <c r="C44" s="13" t="s">
        <v>242</v>
      </c>
      <c r="D44" s="1" t="s">
        <v>16</v>
      </c>
      <c r="E44" s="7">
        <v>50000</v>
      </c>
      <c r="F44" s="6">
        <v>6</v>
      </c>
      <c r="G44" s="12">
        <f t="shared" si="0"/>
        <v>300000</v>
      </c>
      <c r="H44" s="1" t="s">
        <v>218</v>
      </c>
      <c r="I44" s="91" t="s">
        <v>300</v>
      </c>
      <c r="J44" s="2">
        <v>13031</v>
      </c>
      <c r="K44" s="3">
        <f>17792+300000-24147-114611+20966-(-7909)-90048-13031</f>
        <v>104830</v>
      </c>
      <c r="L44" s="93" t="s">
        <v>347</v>
      </c>
      <c r="M44" s="31" t="s">
        <v>455</v>
      </c>
      <c r="N44" s="52" t="s">
        <v>295</v>
      </c>
      <c r="O44" s="19" t="s">
        <v>129</v>
      </c>
      <c r="P44" s="19" t="s">
        <v>247</v>
      </c>
      <c r="Q44" s="41">
        <v>117861</v>
      </c>
      <c r="R44" s="41">
        <v>12410</v>
      </c>
      <c r="S44" s="41">
        <f t="shared" si="1"/>
        <v>105451</v>
      </c>
      <c r="T44" s="19" t="str">
        <f t="shared" si="2"/>
        <v>X</v>
      </c>
    </row>
    <row r="45" spans="1:20" ht="27.75" customHeight="1">
      <c r="A45" s="17">
        <v>43</v>
      </c>
      <c r="B45" s="14" t="s">
        <v>17</v>
      </c>
      <c r="C45" s="13" t="s">
        <v>89</v>
      </c>
      <c r="D45" s="1" t="s">
        <v>24</v>
      </c>
      <c r="E45" s="7">
        <v>100000</v>
      </c>
      <c r="F45" s="6">
        <v>3</v>
      </c>
      <c r="G45" s="12">
        <f t="shared" si="0"/>
        <v>300000</v>
      </c>
      <c r="H45" s="1" t="s">
        <v>138</v>
      </c>
      <c r="I45" s="91" t="s">
        <v>218</v>
      </c>
      <c r="J45" s="2">
        <v>34767</v>
      </c>
      <c r="K45" s="3">
        <f>300000-30131-12413-70480-68455-56711-4628-61530+4340+8-33706+300000-32576-32389-13701-6897-34767</f>
        <v>145964</v>
      </c>
      <c r="L45" s="44" t="s">
        <v>276</v>
      </c>
      <c r="M45" s="31" t="s">
        <v>464</v>
      </c>
      <c r="N45" s="44" t="s">
        <v>277</v>
      </c>
      <c r="O45" s="19" t="s">
        <v>145</v>
      </c>
      <c r="P45" s="19" t="s">
        <v>248</v>
      </c>
      <c r="Q45" s="41">
        <v>180731</v>
      </c>
      <c r="R45" s="41">
        <v>33112</v>
      </c>
      <c r="S45" s="41">
        <f t="shared" si="1"/>
        <v>147619</v>
      </c>
      <c r="T45" s="19" t="str">
        <f t="shared" si="2"/>
        <v>X</v>
      </c>
    </row>
    <row r="46" spans="1:20" ht="27.75" customHeight="1">
      <c r="A46" s="17">
        <v>44</v>
      </c>
      <c r="B46" s="14" t="s">
        <v>17</v>
      </c>
      <c r="C46" s="13" t="s">
        <v>228</v>
      </c>
      <c r="D46" s="1" t="s">
        <v>24</v>
      </c>
      <c r="E46" s="7">
        <v>100000</v>
      </c>
      <c r="F46" s="6">
        <v>3</v>
      </c>
      <c r="G46" s="12">
        <f t="shared" si="0"/>
        <v>300000</v>
      </c>
      <c r="H46" s="87" t="s">
        <v>255</v>
      </c>
      <c r="I46" s="1" t="s">
        <v>292</v>
      </c>
      <c r="J46" s="2">
        <v>31387</v>
      </c>
      <c r="K46" s="3">
        <f>7504+338800-146304-44578-5823-31387</f>
        <v>118212</v>
      </c>
      <c r="L46" s="93" t="s">
        <v>356</v>
      </c>
      <c r="M46" s="31" t="s">
        <v>464</v>
      </c>
      <c r="N46" s="75" t="s">
        <v>326</v>
      </c>
      <c r="O46" s="19" t="s">
        <v>116</v>
      </c>
      <c r="P46" s="19" t="s">
        <v>249</v>
      </c>
      <c r="Q46" s="41">
        <v>149599</v>
      </c>
      <c r="R46" s="41">
        <v>29892</v>
      </c>
      <c r="S46" s="41">
        <f t="shared" si="1"/>
        <v>119707</v>
      </c>
      <c r="T46" s="19" t="str">
        <f t="shared" si="2"/>
        <v>X</v>
      </c>
    </row>
    <row r="47" spans="1:20" ht="27.75" customHeight="1">
      <c r="A47" s="17">
        <v>45</v>
      </c>
      <c r="B47" s="14" t="s">
        <v>40</v>
      </c>
      <c r="C47" s="13" t="s">
        <v>54</v>
      </c>
      <c r="D47" s="1" t="s">
        <v>25</v>
      </c>
      <c r="E47" s="7">
        <v>50000</v>
      </c>
      <c r="F47" s="6">
        <v>6</v>
      </c>
      <c r="G47" s="12">
        <f t="shared" si="0"/>
        <v>300000</v>
      </c>
      <c r="H47" s="1" t="s">
        <v>202</v>
      </c>
      <c r="I47" s="91" t="s">
        <v>300</v>
      </c>
      <c r="J47" s="2">
        <v>67773</v>
      </c>
      <c r="K47" s="3">
        <f>300000-55884+5884-25011-30020-7310-67773</f>
        <v>119886</v>
      </c>
      <c r="L47" s="47" t="s">
        <v>284</v>
      </c>
      <c r="M47" s="31" t="s">
        <v>463</v>
      </c>
      <c r="N47" s="47" t="s">
        <v>285</v>
      </c>
      <c r="O47" s="19" t="s">
        <v>130</v>
      </c>
      <c r="P47" s="19" t="s">
        <v>247</v>
      </c>
      <c r="Q47" s="41">
        <v>187659</v>
      </c>
      <c r="R47" s="41">
        <v>64546</v>
      </c>
      <c r="S47" s="41">
        <f t="shared" si="1"/>
        <v>123113</v>
      </c>
      <c r="T47" s="19" t="str">
        <f t="shared" si="2"/>
        <v>X</v>
      </c>
    </row>
    <row r="48" spans="1:20" ht="27.75" customHeight="1">
      <c r="A48" s="17">
        <v>45</v>
      </c>
      <c r="B48" s="138" t="s">
        <v>448</v>
      </c>
      <c r="C48" s="139" t="s">
        <v>449</v>
      </c>
      <c r="D48" s="1" t="s">
        <v>25</v>
      </c>
      <c r="E48" s="7">
        <v>30000</v>
      </c>
      <c r="F48" s="6">
        <v>3</v>
      </c>
      <c r="G48" s="12">
        <f t="shared" ref="G48" si="3">E48*F48</f>
        <v>90000</v>
      </c>
      <c r="H48" s="141" t="s">
        <v>279</v>
      </c>
      <c r="I48" s="142" t="s">
        <v>300</v>
      </c>
      <c r="J48" s="2">
        <v>1950</v>
      </c>
      <c r="K48" s="3">
        <f>120328-60328-1950</f>
        <v>58050</v>
      </c>
      <c r="L48" s="140" t="s">
        <v>450</v>
      </c>
      <c r="M48" s="31" t="s">
        <v>465</v>
      </c>
      <c r="N48" s="140" t="s">
        <v>451</v>
      </c>
      <c r="O48" s="147" t="s">
        <v>462</v>
      </c>
      <c r="P48" s="19" t="s">
        <v>247</v>
      </c>
      <c r="Q48" s="41">
        <v>187659</v>
      </c>
      <c r="R48" s="41">
        <v>64546</v>
      </c>
      <c r="S48" s="41">
        <f t="shared" ref="S48" si="4">Q48-R48</f>
        <v>123113</v>
      </c>
      <c r="T48" s="19" t="str">
        <f t="shared" ref="T48" si="5">IF(K48=S48,"O","X")</f>
        <v>X</v>
      </c>
    </row>
    <row r="49" spans="1:20" ht="27.75" customHeight="1">
      <c r="A49" s="17">
        <v>46</v>
      </c>
      <c r="B49" s="30" t="s">
        <v>21</v>
      </c>
      <c r="C49" s="25" t="s">
        <v>48</v>
      </c>
      <c r="D49" s="1" t="s">
        <v>25</v>
      </c>
      <c r="E49" s="7">
        <v>100000</v>
      </c>
      <c r="F49" s="6">
        <v>1</v>
      </c>
      <c r="G49" s="12">
        <f t="shared" si="0"/>
        <v>100000</v>
      </c>
      <c r="H49" s="86" t="s">
        <v>140</v>
      </c>
      <c r="I49" s="96" t="s">
        <v>90</v>
      </c>
      <c r="J49" s="2">
        <v>6059</v>
      </c>
      <c r="K49" s="3">
        <f>11922-97770+300000+3839-(-1302)-(-63)-5775-2068-21000-5204-2982-3331-987-(-118)-6059</f>
        <v>172068</v>
      </c>
      <c r="M49" s="31" t="s">
        <v>75</v>
      </c>
      <c r="N49" s="19" t="s">
        <v>141</v>
      </c>
      <c r="O49" s="19" t="s">
        <v>142</v>
      </c>
      <c r="P49" s="19" t="s">
        <v>249</v>
      </c>
      <c r="Q49" s="41">
        <v>178127</v>
      </c>
      <c r="R49" s="41">
        <v>5770</v>
      </c>
      <c r="S49" s="41">
        <f t="shared" si="1"/>
        <v>172357</v>
      </c>
      <c r="T49" s="19" t="str">
        <f t="shared" si="2"/>
        <v>X</v>
      </c>
    </row>
    <row r="50" spans="1:20" ht="27.75" customHeight="1">
      <c r="A50" s="17">
        <v>47</v>
      </c>
      <c r="B50" s="14" t="s">
        <v>17</v>
      </c>
      <c r="C50" s="13" t="s">
        <v>53</v>
      </c>
      <c r="D50" s="1" t="s">
        <v>25</v>
      </c>
      <c r="E50" s="7">
        <v>30000</v>
      </c>
      <c r="F50" s="6">
        <v>3</v>
      </c>
      <c r="G50" s="12">
        <f t="shared" si="0"/>
        <v>90000</v>
      </c>
      <c r="H50" s="87" t="s">
        <v>88</v>
      </c>
      <c r="I50" s="1" t="s">
        <v>202</v>
      </c>
      <c r="J50" s="2">
        <v>5922</v>
      </c>
      <c r="K50" s="3">
        <f>18100+300000-59068-22470-(-4620)-41839-55199-4431-(-1149)-5922</f>
        <v>134940</v>
      </c>
      <c r="L50" s="19" t="s">
        <v>265</v>
      </c>
      <c r="M50" s="31" t="s">
        <v>460</v>
      </c>
      <c r="N50" s="19" t="s">
        <v>266</v>
      </c>
      <c r="O50" s="19" t="s">
        <v>158</v>
      </c>
      <c r="P50" s="19" t="s">
        <v>247</v>
      </c>
      <c r="Q50" s="41">
        <v>140862</v>
      </c>
      <c r="R50" s="41">
        <v>5640</v>
      </c>
      <c r="S50" s="41">
        <f t="shared" si="1"/>
        <v>135222</v>
      </c>
      <c r="T50" s="19" t="str">
        <f t="shared" si="2"/>
        <v>X</v>
      </c>
    </row>
    <row r="51" spans="1:20" ht="27.75" customHeight="1">
      <c r="A51" s="17">
        <v>48</v>
      </c>
      <c r="B51" s="14" t="s">
        <v>40</v>
      </c>
      <c r="C51" s="13" t="s">
        <v>207</v>
      </c>
      <c r="D51" s="1" t="s">
        <v>24</v>
      </c>
      <c r="E51" s="7">
        <v>100000</v>
      </c>
      <c r="F51" s="6">
        <v>3</v>
      </c>
      <c r="G51" s="12">
        <f t="shared" si="0"/>
        <v>300000</v>
      </c>
      <c r="H51" s="131" t="s">
        <v>279</v>
      </c>
      <c r="I51" s="131" t="s">
        <v>300</v>
      </c>
      <c r="J51" s="2">
        <v>-6042</v>
      </c>
      <c r="K51" s="3">
        <f>300000-59527-9912-7192-22294-25902-23719-19560-2678-5928-7835-2663-20118-22750-5946-1358-5427-21597-15939-225462+205807+200000-(-6042)</f>
        <v>206042</v>
      </c>
      <c r="L51" s="128" t="s">
        <v>440</v>
      </c>
      <c r="M51" s="31" t="s">
        <v>75</v>
      </c>
      <c r="N51" s="129" t="s">
        <v>441</v>
      </c>
      <c r="O51" s="19" t="s">
        <v>117</v>
      </c>
      <c r="P51" s="19" t="s">
        <v>249</v>
      </c>
      <c r="Q51" s="41">
        <v>200000</v>
      </c>
      <c r="R51" s="41">
        <v>-5754</v>
      </c>
      <c r="S51" s="41">
        <f t="shared" si="1"/>
        <v>205754</v>
      </c>
      <c r="T51" s="19" t="str">
        <f t="shared" si="2"/>
        <v>X</v>
      </c>
    </row>
    <row r="52" spans="1:20" ht="27.75" customHeight="1">
      <c r="A52" s="17">
        <v>49</v>
      </c>
      <c r="B52" s="16" t="s">
        <v>45</v>
      </c>
      <c r="C52" s="9" t="s">
        <v>42</v>
      </c>
      <c r="D52" s="1" t="s">
        <v>24</v>
      </c>
      <c r="E52" s="7">
        <v>100000</v>
      </c>
      <c r="F52" s="6">
        <v>3</v>
      </c>
      <c r="G52" s="12">
        <f t="shared" si="0"/>
        <v>300000</v>
      </c>
      <c r="H52" s="90" t="s">
        <v>68</v>
      </c>
      <c r="I52" s="90" t="s">
        <v>70</v>
      </c>
      <c r="J52" s="2">
        <v>39386</v>
      </c>
      <c r="K52" s="3">
        <f>90000-20864-4977-1092-420-9909-23121-6589-14291+593-8560+7673-23543+300000-22705-1987-27416-882-26744-15496-6114-3480-1556-4250-3875-5975-63806-16034-4660-30987-39386</f>
        <v>9547</v>
      </c>
      <c r="M52" s="31" t="s">
        <v>460</v>
      </c>
      <c r="O52" s="19" t="s">
        <v>159</v>
      </c>
      <c r="P52" s="19" t="s">
        <v>247</v>
      </c>
      <c r="Q52" s="41">
        <v>48933</v>
      </c>
      <c r="R52" s="41">
        <v>37510</v>
      </c>
      <c r="S52" s="41">
        <f t="shared" si="1"/>
        <v>11423</v>
      </c>
      <c r="T52" s="19" t="str">
        <f t="shared" si="2"/>
        <v>X</v>
      </c>
    </row>
    <row r="53" spans="1:20" ht="27.75" customHeight="1">
      <c r="A53" s="17">
        <v>50</v>
      </c>
      <c r="B53" s="18" t="s">
        <v>93</v>
      </c>
      <c r="C53" s="8" t="s">
        <v>81</v>
      </c>
      <c r="D53" s="1" t="s">
        <v>24</v>
      </c>
      <c r="E53" s="7">
        <v>100000</v>
      </c>
      <c r="F53" s="6">
        <v>3</v>
      </c>
      <c r="G53" s="12">
        <f t="shared" si="0"/>
        <v>300000</v>
      </c>
      <c r="H53" s="127" t="s">
        <v>33</v>
      </c>
      <c r="I53" s="127" t="s">
        <v>35</v>
      </c>
      <c r="J53" s="2">
        <v>16905</v>
      </c>
      <c r="K53" s="3">
        <f>2943+300000-16905</f>
        <v>286038</v>
      </c>
      <c r="L53" s="148" t="s">
        <v>469</v>
      </c>
      <c r="M53" s="31" t="s">
        <v>465</v>
      </c>
      <c r="N53" s="149" t="s">
        <v>470</v>
      </c>
      <c r="O53" s="19" t="s">
        <v>160</v>
      </c>
      <c r="P53" s="19" t="s">
        <v>247</v>
      </c>
      <c r="Q53" s="41">
        <v>2943</v>
      </c>
      <c r="R53" s="41">
        <v>16100</v>
      </c>
      <c r="S53" s="41">
        <f t="shared" si="1"/>
        <v>-13157</v>
      </c>
      <c r="T53" s="19" t="str">
        <f t="shared" si="2"/>
        <v>X</v>
      </c>
    </row>
    <row r="54" spans="1:20" ht="27.75" customHeight="1">
      <c r="A54" s="17">
        <v>51</v>
      </c>
      <c r="B54" s="14" t="s">
        <v>40</v>
      </c>
      <c r="C54" s="13" t="s">
        <v>61</v>
      </c>
      <c r="D54" s="1" t="s">
        <v>25</v>
      </c>
      <c r="E54" s="7">
        <v>50000</v>
      </c>
      <c r="F54" s="6">
        <v>6</v>
      </c>
      <c r="G54" s="12">
        <f t="shared" si="0"/>
        <v>300000</v>
      </c>
      <c r="H54" s="1" t="s">
        <v>74</v>
      </c>
      <c r="I54" s="1" t="s">
        <v>218</v>
      </c>
      <c r="J54" s="2">
        <v>7207</v>
      </c>
      <c r="K54" s="3">
        <f>6424-4347-578-4599+3100+26230+300000-76230-(-3696)-8043-45507-41375-(-840)-7207</f>
        <v>152404</v>
      </c>
      <c r="M54" s="31" t="s">
        <v>455</v>
      </c>
      <c r="N54" s="19" t="s">
        <v>219</v>
      </c>
      <c r="O54" s="19" t="s">
        <v>187</v>
      </c>
      <c r="P54" s="19" t="s">
        <v>249</v>
      </c>
      <c r="Q54" s="41">
        <v>159611</v>
      </c>
      <c r="R54" s="41">
        <v>6864</v>
      </c>
      <c r="S54" s="41">
        <f t="shared" si="1"/>
        <v>152747</v>
      </c>
      <c r="T54" s="19" t="str">
        <f t="shared" si="2"/>
        <v>X</v>
      </c>
    </row>
    <row r="55" spans="1:20" ht="27.75" customHeight="1">
      <c r="A55" s="17">
        <v>52</v>
      </c>
      <c r="B55" s="14" t="s">
        <v>40</v>
      </c>
      <c r="C55" s="13" t="s">
        <v>47</v>
      </c>
      <c r="D55" s="1" t="s">
        <v>24</v>
      </c>
      <c r="E55" s="7">
        <v>100000</v>
      </c>
      <c r="F55" s="6">
        <v>3</v>
      </c>
      <c r="G55" s="12">
        <f t="shared" si="0"/>
        <v>300000</v>
      </c>
      <c r="H55" s="1" t="s">
        <v>224</v>
      </c>
      <c r="I55" s="1" t="s">
        <v>138</v>
      </c>
      <c r="J55" s="2">
        <v>-2436</v>
      </c>
      <c r="K55" s="3">
        <f>18120+143693-161813+300000-(-8841)-(-305)-17566-5534-135160+134988-0-26131-71339-(-2436)</f>
        <v>190840</v>
      </c>
      <c r="M55" s="31" t="s">
        <v>455</v>
      </c>
      <c r="N55" s="19" t="s">
        <v>210</v>
      </c>
      <c r="O55" s="19" t="s">
        <v>131</v>
      </c>
      <c r="P55" s="19" t="s">
        <v>247</v>
      </c>
      <c r="Q55" s="41">
        <v>188404</v>
      </c>
      <c r="R55" s="41">
        <v>-2320</v>
      </c>
      <c r="S55" s="41">
        <f t="shared" si="1"/>
        <v>190724</v>
      </c>
      <c r="T55" s="19" t="str">
        <f t="shared" si="2"/>
        <v>X</v>
      </c>
    </row>
    <row r="56" spans="1:20" ht="27.75" customHeight="1">
      <c r="A56" s="17">
        <v>53</v>
      </c>
      <c r="B56" s="16" t="s">
        <v>45</v>
      </c>
      <c r="C56" s="9" t="s">
        <v>243</v>
      </c>
      <c r="D56" s="1" t="s">
        <v>25</v>
      </c>
      <c r="E56" s="7">
        <v>50000</v>
      </c>
      <c r="F56" s="6">
        <v>12</v>
      </c>
      <c r="G56" s="12">
        <f t="shared" si="0"/>
        <v>600000</v>
      </c>
      <c r="H56" s="85" t="s">
        <v>300</v>
      </c>
      <c r="I56" s="85" t="s">
        <v>454</v>
      </c>
      <c r="J56" s="2">
        <v>46809</v>
      </c>
      <c r="K56" s="3">
        <f>45590-46809+1219+300000</f>
        <v>300000</v>
      </c>
      <c r="L56" s="143" t="s">
        <v>452</v>
      </c>
      <c r="M56" s="31" t="s">
        <v>455</v>
      </c>
      <c r="N56" s="144" t="s">
        <v>453</v>
      </c>
      <c r="O56" s="19" t="s">
        <v>188</v>
      </c>
      <c r="P56" s="19" t="s">
        <v>247</v>
      </c>
      <c r="Q56" s="41">
        <v>45590</v>
      </c>
      <c r="R56" s="41">
        <v>44580</v>
      </c>
      <c r="S56" s="41">
        <f t="shared" si="1"/>
        <v>1010</v>
      </c>
      <c r="T56" s="19" t="str">
        <f t="shared" si="2"/>
        <v>X</v>
      </c>
    </row>
    <row r="57" spans="1:20" ht="27.75" customHeight="1">
      <c r="A57" s="17">
        <v>54</v>
      </c>
      <c r="B57" s="30" t="s">
        <v>21</v>
      </c>
      <c r="C57" s="25" t="s">
        <v>82</v>
      </c>
      <c r="D57" s="1" t="s">
        <v>24</v>
      </c>
      <c r="E57" s="7">
        <v>100000</v>
      </c>
      <c r="F57" s="6">
        <v>2</v>
      </c>
      <c r="G57" s="12">
        <f t="shared" si="0"/>
        <v>200000</v>
      </c>
      <c r="H57" s="86" t="s">
        <v>178</v>
      </c>
      <c r="I57" s="86" t="s">
        <v>71</v>
      </c>
      <c r="J57" s="2">
        <v>0</v>
      </c>
      <c r="K57" s="3">
        <f>200000-(-7917)-0-0-J57</f>
        <v>207917</v>
      </c>
      <c r="M57" s="31" t="s">
        <v>465</v>
      </c>
      <c r="N57" s="19" t="s">
        <v>177</v>
      </c>
      <c r="O57" s="19" t="s">
        <v>176</v>
      </c>
      <c r="P57" s="19" t="s">
        <v>246</v>
      </c>
      <c r="Q57" s="41">
        <v>207917</v>
      </c>
      <c r="R57" s="41">
        <v>0</v>
      </c>
      <c r="S57" s="41">
        <f t="shared" si="1"/>
        <v>207917</v>
      </c>
      <c r="T57" s="19" t="str">
        <f t="shared" si="2"/>
        <v>O</v>
      </c>
    </row>
    <row r="58" spans="1:20" ht="27.75" customHeight="1">
      <c r="A58" s="17">
        <v>55</v>
      </c>
      <c r="B58" s="30" t="s">
        <v>21</v>
      </c>
      <c r="C58" s="25" t="s">
        <v>51</v>
      </c>
      <c r="D58" s="1" t="s">
        <v>25</v>
      </c>
      <c r="E58" s="7">
        <v>50000</v>
      </c>
      <c r="F58" s="6">
        <v>6</v>
      </c>
      <c r="G58" s="12">
        <f t="shared" si="0"/>
        <v>300000</v>
      </c>
      <c r="H58" s="86" t="s">
        <v>64</v>
      </c>
      <c r="I58" s="86" t="s">
        <v>90</v>
      </c>
      <c r="J58" s="2">
        <v>0</v>
      </c>
      <c r="K58" s="3">
        <f>291213-8534-415-33896-7648-8294-25977-1182-1722-13726-0-1890-0-J58</f>
        <v>187929</v>
      </c>
      <c r="M58" s="31" t="s">
        <v>465</v>
      </c>
      <c r="O58" s="19" t="s">
        <v>127</v>
      </c>
      <c r="P58" s="19" t="s">
        <v>249</v>
      </c>
      <c r="Q58" s="41">
        <v>187929</v>
      </c>
      <c r="R58" s="41">
        <v>0</v>
      </c>
      <c r="S58" s="41">
        <f t="shared" si="1"/>
        <v>187929</v>
      </c>
      <c r="T58" s="19" t="str">
        <f t="shared" si="2"/>
        <v>O</v>
      </c>
    </row>
    <row r="59" spans="1:20" ht="27.75" customHeight="1">
      <c r="A59" s="17">
        <v>56</v>
      </c>
      <c r="B59" s="14" t="s">
        <v>40</v>
      </c>
      <c r="C59" s="14" t="s">
        <v>28</v>
      </c>
      <c r="D59" s="1" t="s">
        <v>24</v>
      </c>
      <c r="E59" s="7">
        <v>100000</v>
      </c>
      <c r="F59" s="6">
        <v>3</v>
      </c>
      <c r="G59" s="12">
        <f t="shared" si="0"/>
        <v>300000</v>
      </c>
      <c r="H59" s="1" t="s">
        <v>90</v>
      </c>
      <c r="I59" s="1" t="s">
        <v>202</v>
      </c>
      <c r="J59" s="2">
        <v>96353</v>
      </c>
      <c r="K59" s="3">
        <f>18092+300000-64117-22203-64266-33368-8329-22706-5462-5938-2416-37338-16832-83152+300000-17026-(-9888)-29563-35177-18692-(-788)-40201-(-470)-(-7762)-96353</f>
        <v>33861</v>
      </c>
      <c r="M59" s="31" t="s">
        <v>75</v>
      </c>
      <c r="N59" s="19" t="s">
        <v>195</v>
      </c>
      <c r="O59" s="19" t="s">
        <v>143</v>
      </c>
      <c r="P59" s="19" t="s">
        <v>249</v>
      </c>
      <c r="Q59" s="41">
        <v>130214</v>
      </c>
      <c r="R59" s="41">
        <v>91765</v>
      </c>
      <c r="S59" s="41">
        <f t="shared" si="1"/>
        <v>38449</v>
      </c>
      <c r="T59" s="19" t="str">
        <f t="shared" si="2"/>
        <v>X</v>
      </c>
    </row>
    <row r="60" spans="1:20" ht="27.75" customHeight="1">
      <c r="A60" s="17">
        <v>57</v>
      </c>
      <c r="B60" s="14" t="s">
        <v>40</v>
      </c>
      <c r="C60" s="13" t="s">
        <v>27</v>
      </c>
      <c r="D60" s="1" t="s">
        <v>24</v>
      </c>
      <c r="E60" s="7">
        <v>100000</v>
      </c>
      <c r="F60" s="6">
        <v>3</v>
      </c>
      <c r="G60" s="12">
        <f t="shared" si="0"/>
        <v>300000</v>
      </c>
      <c r="H60" s="127" t="s">
        <v>279</v>
      </c>
      <c r="I60" s="127" t="s">
        <v>300</v>
      </c>
      <c r="J60" s="2">
        <v>-7846</v>
      </c>
      <c r="K60" s="3">
        <f>300000-43674-(-7846)</f>
        <v>264172</v>
      </c>
      <c r="L60" s="128" t="s">
        <v>432</v>
      </c>
      <c r="M60" s="31" t="s">
        <v>464</v>
      </c>
      <c r="N60" s="129" t="s">
        <v>434</v>
      </c>
      <c r="O60" s="19" t="s">
        <v>169</v>
      </c>
      <c r="P60" s="19" t="s">
        <v>248</v>
      </c>
      <c r="Q60" s="41">
        <v>256326</v>
      </c>
      <c r="R60" s="41">
        <v>-7472</v>
      </c>
      <c r="S60" s="41">
        <f t="shared" si="1"/>
        <v>263798</v>
      </c>
      <c r="T60" s="19" t="str">
        <f t="shared" si="2"/>
        <v>X</v>
      </c>
    </row>
    <row r="61" spans="1:20" ht="27.75" customHeight="1">
      <c r="A61" s="17">
        <v>58</v>
      </c>
      <c r="B61" s="18" t="s">
        <v>44</v>
      </c>
      <c r="C61" s="8" t="s">
        <v>56</v>
      </c>
      <c r="D61" s="1" t="s">
        <v>25</v>
      </c>
      <c r="E61" s="7">
        <v>100000</v>
      </c>
      <c r="F61" s="6">
        <v>1</v>
      </c>
      <c r="G61" s="12">
        <f t="shared" si="0"/>
        <v>100000</v>
      </c>
      <c r="H61" s="87" t="s">
        <v>71</v>
      </c>
      <c r="I61" s="87" t="s">
        <v>71</v>
      </c>
      <c r="J61" s="2">
        <v>0</v>
      </c>
      <c r="K61" s="3">
        <f>90000-49135-31500+8001-7207+920+100000-50715-2617-6556-12090-34997-4253+149-0-J61</f>
        <v>0</v>
      </c>
      <c r="L61" s="94" t="s">
        <v>26</v>
      </c>
      <c r="M61" s="31" t="s">
        <v>465</v>
      </c>
      <c r="N61" s="19" t="s">
        <v>161</v>
      </c>
      <c r="O61" s="19" t="s">
        <v>120</v>
      </c>
      <c r="P61" s="19" t="s">
        <v>249</v>
      </c>
      <c r="Q61" s="41">
        <v>0</v>
      </c>
      <c r="R61" s="41">
        <v>0</v>
      </c>
      <c r="S61" s="41">
        <f t="shared" si="1"/>
        <v>0</v>
      </c>
      <c r="T61" s="19" t="str">
        <f t="shared" si="2"/>
        <v>O</v>
      </c>
    </row>
    <row r="62" spans="1:20" ht="27.75" customHeight="1">
      <c r="A62" s="17">
        <v>59</v>
      </c>
      <c r="B62" s="30" t="s">
        <v>21</v>
      </c>
      <c r="C62" s="25" t="s">
        <v>76</v>
      </c>
      <c r="D62" s="1" t="s">
        <v>16</v>
      </c>
      <c r="E62" s="7">
        <v>100000</v>
      </c>
      <c r="F62" s="6">
        <v>3</v>
      </c>
      <c r="G62" s="12">
        <f t="shared" si="0"/>
        <v>300000</v>
      </c>
      <c r="H62" s="92" t="s">
        <v>71</v>
      </c>
      <c r="I62" s="86" t="s">
        <v>74</v>
      </c>
      <c r="J62" s="2">
        <v>71607</v>
      </c>
      <c r="K62" s="3">
        <f>300000-57944-22743-10634-6377-40275-18188-13242-10332-15089-14471-8693-J62</f>
        <v>10405</v>
      </c>
      <c r="M62" s="31" t="s">
        <v>455</v>
      </c>
      <c r="N62" s="19" t="s">
        <v>122</v>
      </c>
      <c r="O62" s="19" t="s">
        <v>121</v>
      </c>
      <c r="P62" s="19" t="s">
        <v>249</v>
      </c>
      <c r="Q62" s="41">
        <v>82012</v>
      </c>
      <c r="R62" s="41">
        <v>68197</v>
      </c>
      <c r="S62" s="41">
        <f t="shared" si="1"/>
        <v>13815</v>
      </c>
      <c r="T62" s="19" t="str">
        <f t="shared" si="2"/>
        <v>X</v>
      </c>
    </row>
    <row r="63" spans="1:20" ht="27.75" customHeight="1">
      <c r="A63" s="17">
        <v>60</v>
      </c>
      <c r="B63" s="14" t="s">
        <v>17</v>
      </c>
      <c r="C63" s="13" t="s">
        <v>62</v>
      </c>
      <c r="D63" s="1" t="s">
        <v>25</v>
      </c>
      <c r="E63" s="7">
        <v>50000</v>
      </c>
      <c r="F63" s="6">
        <v>6</v>
      </c>
      <c r="G63" s="12">
        <f t="shared" si="0"/>
        <v>300000</v>
      </c>
      <c r="H63" s="87" t="s">
        <v>224</v>
      </c>
      <c r="I63" s="1" t="s">
        <v>258</v>
      </c>
      <c r="J63" s="2">
        <v>18554</v>
      </c>
      <c r="K63" s="3">
        <f>300000-7875-9736-(-1040)-0-7350-99557-11208-1155-18554</f>
        <v>145605</v>
      </c>
      <c r="L63" s="20"/>
      <c r="M63" s="31" t="s">
        <v>460</v>
      </c>
      <c r="N63" s="20" t="s">
        <v>251</v>
      </c>
      <c r="O63" s="19" t="s">
        <v>168</v>
      </c>
      <c r="P63" s="19" t="s">
        <v>248</v>
      </c>
      <c r="Q63" s="41">
        <v>164159</v>
      </c>
      <c r="R63" s="41">
        <v>17670</v>
      </c>
      <c r="S63" s="41">
        <f t="shared" si="1"/>
        <v>146489</v>
      </c>
      <c r="T63" s="19" t="str">
        <f t="shared" si="2"/>
        <v>X</v>
      </c>
    </row>
    <row r="64" spans="1:20" ht="27.75" customHeight="1">
      <c r="A64" s="17">
        <v>61</v>
      </c>
      <c r="B64" s="14" t="s">
        <v>17</v>
      </c>
      <c r="C64" s="13" t="s">
        <v>31</v>
      </c>
      <c r="D64" s="1" t="s">
        <v>24</v>
      </c>
      <c r="E64" s="7">
        <v>100000</v>
      </c>
      <c r="F64" s="6">
        <v>3</v>
      </c>
      <c r="G64" s="12">
        <f t="shared" si="0"/>
        <v>300000</v>
      </c>
      <c r="H64" s="87" t="s">
        <v>88</v>
      </c>
      <c r="I64" s="1" t="s">
        <v>202</v>
      </c>
      <c r="J64" s="2">
        <v>0</v>
      </c>
      <c r="K64" s="3">
        <f>300000-48258-108671-7271-9559-275-J64</f>
        <v>125966</v>
      </c>
      <c r="L64" s="93" t="s">
        <v>352</v>
      </c>
      <c r="M64" s="31" t="s">
        <v>465</v>
      </c>
      <c r="N64" s="19" t="s">
        <v>260</v>
      </c>
      <c r="O64" s="19" t="s">
        <v>136</v>
      </c>
      <c r="P64" s="19" t="s">
        <v>247</v>
      </c>
      <c r="Q64" s="41">
        <v>125966</v>
      </c>
      <c r="R64" s="41">
        <v>0</v>
      </c>
      <c r="S64" s="41">
        <f t="shared" si="1"/>
        <v>125966</v>
      </c>
      <c r="T64" s="19" t="str">
        <f t="shared" si="2"/>
        <v>O</v>
      </c>
    </row>
    <row r="65" spans="1:20" ht="27.75" customHeight="1">
      <c r="A65" s="17">
        <v>62</v>
      </c>
      <c r="B65" s="18" t="s">
        <v>44</v>
      </c>
      <c r="C65" s="8" t="s">
        <v>204</v>
      </c>
      <c r="D65" s="1" t="s">
        <v>25</v>
      </c>
      <c r="E65" s="7">
        <v>50000</v>
      </c>
      <c r="F65" s="6">
        <v>6</v>
      </c>
      <c r="G65" s="12">
        <f t="shared" si="0"/>
        <v>300000</v>
      </c>
      <c r="H65" s="127" t="s">
        <v>466</v>
      </c>
      <c r="I65" s="127"/>
      <c r="J65" s="2">
        <v>21420</v>
      </c>
      <c r="K65" s="3">
        <f>50000*6-21420-J65</f>
        <v>257160</v>
      </c>
      <c r="L65" s="148" t="s">
        <v>467</v>
      </c>
      <c r="M65" s="31" t="s">
        <v>465</v>
      </c>
      <c r="N65" s="149" t="s">
        <v>468</v>
      </c>
      <c r="O65" s="19" t="s">
        <v>203</v>
      </c>
      <c r="P65" s="19" t="s">
        <v>249</v>
      </c>
      <c r="Q65" s="41">
        <v>-2489</v>
      </c>
      <c r="R65" s="41">
        <v>20400</v>
      </c>
      <c r="S65" s="41">
        <f t="shared" si="1"/>
        <v>-22889</v>
      </c>
      <c r="T65" s="19" t="str">
        <f t="shared" si="2"/>
        <v>X</v>
      </c>
    </row>
    <row r="66" spans="1:20" ht="27.75" customHeight="1">
      <c r="A66" s="17">
        <v>63</v>
      </c>
      <c r="B66" s="14" t="s">
        <v>17</v>
      </c>
      <c r="C66" s="13" t="s">
        <v>57</v>
      </c>
      <c r="D66" s="1" t="s">
        <v>25</v>
      </c>
      <c r="E66" s="7">
        <v>50000</v>
      </c>
      <c r="F66" s="6">
        <v>6</v>
      </c>
      <c r="G66" s="12">
        <f t="shared" si="0"/>
        <v>300000</v>
      </c>
      <c r="H66" s="87" t="s">
        <v>71</v>
      </c>
      <c r="I66" s="1" t="s">
        <v>138</v>
      </c>
      <c r="J66" s="2">
        <v>3614</v>
      </c>
      <c r="K66" s="3">
        <f>9182+300000-53834-8363-66119-5118-32723-9160-2310-8921-3614-J66</f>
        <v>115406</v>
      </c>
      <c r="M66" s="31" t="s">
        <v>465</v>
      </c>
      <c r="N66" s="19" t="s">
        <v>162</v>
      </c>
      <c r="O66" s="19" t="s">
        <v>115</v>
      </c>
      <c r="P66" s="19" t="s">
        <v>249</v>
      </c>
      <c r="Q66" s="41">
        <v>122634</v>
      </c>
      <c r="R66" s="41">
        <v>3442</v>
      </c>
      <c r="S66" s="41">
        <f t="shared" si="1"/>
        <v>119192</v>
      </c>
      <c r="T66" s="19" t="str">
        <f t="shared" si="2"/>
        <v>X</v>
      </c>
    </row>
    <row r="67" spans="1:20" ht="27.75" customHeight="1">
      <c r="A67" s="17">
        <v>64</v>
      </c>
      <c r="B67" s="18" t="s">
        <v>93</v>
      </c>
      <c r="C67" s="8" t="s">
        <v>63</v>
      </c>
      <c r="D67" s="1" t="s">
        <v>60</v>
      </c>
      <c r="E67" s="7">
        <v>50000</v>
      </c>
      <c r="F67" s="6">
        <v>6</v>
      </c>
      <c r="G67" s="12">
        <f t="shared" si="0"/>
        <v>300000</v>
      </c>
      <c r="H67" s="87" t="s">
        <v>224</v>
      </c>
      <c r="I67" s="1" t="s">
        <v>138</v>
      </c>
      <c r="J67" s="2">
        <v>-2738</v>
      </c>
      <c r="K67" s="3">
        <f>0-(-2738)-J67</f>
        <v>5476</v>
      </c>
      <c r="L67" s="94" t="s">
        <v>26</v>
      </c>
      <c r="M67" s="31" t="s">
        <v>474</v>
      </c>
      <c r="N67" s="19" t="s">
        <v>250</v>
      </c>
      <c r="O67" s="129" t="s">
        <v>132</v>
      </c>
      <c r="P67" s="19" t="s">
        <v>247</v>
      </c>
      <c r="Q67" s="41">
        <v>0</v>
      </c>
      <c r="R67" s="41">
        <v>-2738</v>
      </c>
      <c r="S67" s="41">
        <f t="shared" si="1"/>
        <v>2738</v>
      </c>
      <c r="T67" s="19" t="str">
        <f t="shared" si="2"/>
        <v>X</v>
      </c>
    </row>
    <row r="68" spans="1:20" ht="27.75" customHeight="1">
      <c r="A68" s="17">
        <v>65</v>
      </c>
      <c r="B68" s="14" t="s">
        <v>17</v>
      </c>
      <c r="C68" s="13" t="s">
        <v>38</v>
      </c>
      <c r="D68" s="1" t="s">
        <v>15</v>
      </c>
      <c r="E68" s="7">
        <v>150000</v>
      </c>
      <c r="F68" s="6">
        <v>6</v>
      </c>
      <c r="G68" s="12">
        <f t="shared" si="0"/>
        <v>900000</v>
      </c>
      <c r="H68" s="87" t="s">
        <v>268</v>
      </c>
      <c r="I68" s="1" t="s">
        <v>269</v>
      </c>
      <c r="J68" s="2">
        <v>90568</v>
      </c>
      <c r="K68" s="3">
        <f>150000*6-99420-18220-135541-82176-70245-80418-102421-90568-J68</f>
        <v>130423</v>
      </c>
      <c r="L68" s="19" t="s">
        <v>267</v>
      </c>
      <c r="M68" s="31" t="s">
        <v>472</v>
      </c>
      <c r="N68" s="19" t="s">
        <v>270</v>
      </c>
      <c r="O68" s="19" t="s">
        <v>175</v>
      </c>
      <c r="P68" s="19" t="s">
        <v>246</v>
      </c>
      <c r="Q68" s="41">
        <v>311559</v>
      </c>
      <c r="R68" s="41">
        <v>86723</v>
      </c>
      <c r="S68" s="41">
        <f t="shared" si="1"/>
        <v>224836</v>
      </c>
      <c r="T68" s="19" t="str">
        <f t="shared" si="2"/>
        <v>X</v>
      </c>
    </row>
    <row r="69" spans="1:20" ht="27.75" customHeight="1">
      <c r="A69" s="17">
        <v>66</v>
      </c>
      <c r="B69" s="14" t="s">
        <v>17</v>
      </c>
      <c r="C69" s="13" t="s">
        <v>73</v>
      </c>
      <c r="D69" s="1" t="s">
        <v>25</v>
      </c>
      <c r="E69" s="7">
        <v>50000</v>
      </c>
      <c r="F69" s="6">
        <v>6</v>
      </c>
      <c r="G69" s="12">
        <f t="shared" si="0"/>
        <v>300000</v>
      </c>
      <c r="H69" s="87" t="s">
        <v>218</v>
      </c>
      <c r="I69" s="1" t="s">
        <v>300</v>
      </c>
      <c r="J69" s="2">
        <v>1134</v>
      </c>
      <c r="K69" s="3">
        <f>73398+300000-99178+25780-11025-13244-1134-J69</f>
        <v>273463</v>
      </c>
      <c r="L69" s="93" t="s">
        <v>348</v>
      </c>
      <c r="M69" s="31" t="s">
        <v>75</v>
      </c>
      <c r="N69" s="57" t="s">
        <v>298</v>
      </c>
      <c r="O69" s="19" t="s">
        <v>146</v>
      </c>
      <c r="P69" s="19" t="s">
        <v>246</v>
      </c>
      <c r="Q69" s="41">
        <v>275731</v>
      </c>
      <c r="R69" s="41">
        <v>1080</v>
      </c>
      <c r="S69" s="41">
        <f t="shared" ref="S69:S77" si="6">Q69-R69</f>
        <v>274651</v>
      </c>
      <c r="T69" s="19" t="str">
        <f t="shared" ref="T69:T77" si="7">IF(K69=S69,"O","X")</f>
        <v>X</v>
      </c>
    </row>
    <row r="70" spans="1:20" ht="27.75" customHeight="1">
      <c r="A70" s="17">
        <v>67</v>
      </c>
      <c r="B70" s="14" t="s">
        <v>17</v>
      </c>
      <c r="C70" s="13" t="s">
        <v>309</v>
      </c>
      <c r="D70" s="1" t="s">
        <v>24</v>
      </c>
      <c r="E70" s="7">
        <v>30000</v>
      </c>
      <c r="F70" s="6">
        <v>3</v>
      </c>
      <c r="G70" s="12">
        <f t="shared" si="0"/>
        <v>90000</v>
      </c>
      <c r="H70" s="87" t="s">
        <v>218</v>
      </c>
      <c r="I70" s="1" t="s">
        <v>258</v>
      </c>
      <c r="J70" s="2">
        <v>5644</v>
      </c>
      <c r="K70" s="3">
        <f>90000-5313-6426-5644-J70</f>
        <v>66973</v>
      </c>
      <c r="L70" s="93" t="s">
        <v>349</v>
      </c>
      <c r="M70" s="31" t="s">
        <v>75</v>
      </c>
      <c r="N70" s="67" t="s">
        <v>308</v>
      </c>
      <c r="O70" s="66" t="s">
        <v>311</v>
      </c>
      <c r="P70" s="66" t="s">
        <v>312</v>
      </c>
      <c r="Q70" s="41">
        <v>78261</v>
      </c>
      <c r="R70" s="41">
        <v>5375</v>
      </c>
      <c r="S70" s="41">
        <f t="shared" si="6"/>
        <v>72886</v>
      </c>
      <c r="T70" s="19" t="str">
        <f t="shared" si="7"/>
        <v>X</v>
      </c>
    </row>
    <row r="71" spans="1:20" ht="27.75" customHeight="1">
      <c r="A71" s="17">
        <v>68</v>
      </c>
      <c r="B71" s="30" t="s">
        <v>21</v>
      </c>
      <c r="C71" s="25" t="s">
        <v>189</v>
      </c>
      <c r="D71" s="1" t="s">
        <v>15</v>
      </c>
      <c r="E71" s="7">
        <v>100000</v>
      </c>
      <c r="F71" s="6">
        <v>3</v>
      </c>
      <c r="G71" s="12">
        <f t="shared" si="0"/>
        <v>300000</v>
      </c>
      <c r="H71" s="92" t="s">
        <v>190</v>
      </c>
      <c r="I71" s="86" t="s">
        <v>191</v>
      </c>
      <c r="J71" s="2">
        <v>12344</v>
      </c>
      <c r="K71" s="3">
        <f>300000-3904-171-22279-24548-4422-0-1502-8533-20349-12344-J71</f>
        <v>189604</v>
      </c>
      <c r="M71" s="31" t="s">
        <v>75</v>
      </c>
      <c r="N71" s="20" t="s">
        <v>171</v>
      </c>
      <c r="O71" s="19" t="s">
        <v>172</v>
      </c>
      <c r="P71" s="19" t="s">
        <v>246</v>
      </c>
      <c r="Q71" s="41">
        <v>214292</v>
      </c>
      <c r="R71" s="41">
        <v>11756</v>
      </c>
      <c r="S71" s="41">
        <f t="shared" si="6"/>
        <v>202536</v>
      </c>
      <c r="T71" s="19" t="str">
        <f t="shared" si="7"/>
        <v>X</v>
      </c>
    </row>
    <row r="72" spans="1:20" ht="27.75" customHeight="1">
      <c r="A72" s="17">
        <v>69</v>
      </c>
      <c r="B72" s="16" t="s">
        <v>45</v>
      </c>
      <c r="C72" s="9" t="s">
        <v>65</v>
      </c>
      <c r="D72" s="1" t="s">
        <v>25</v>
      </c>
      <c r="E72" s="7">
        <v>30000</v>
      </c>
      <c r="F72" s="6">
        <v>3</v>
      </c>
      <c r="G72" s="12">
        <f t="shared" si="0"/>
        <v>90000</v>
      </c>
      <c r="H72" s="89" t="s">
        <v>55</v>
      </c>
      <c r="I72" s="89" t="s">
        <v>70</v>
      </c>
      <c r="J72" s="2">
        <v>17441</v>
      </c>
      <c r="K72" s="3">
        <f>300000-6732-149680+5310-23804-1573-(-4095)-2995-16120-6646-34272-19278-8610-17441-J72</f>
        <v>4813</v>
      </c>
      <c r="M72" s="31" t="s">
        <v>464</v>
      </c>
      <c r="N72" s="20"/>
      <c r="O72" s="19" t="s">
        <v>170</v>
      </c>
      <c r="P72" s="19" t="s">
        <v>246</v>
      </c>
      <c r="Q72" s="41">
        <v>39695</v>
      </c>
      <c r="R72" s="41">
        <v>16610</v>
      </c>
      <c r="S72" s="41">
        <f t="shared" si="6"/>
        <v>23085</v>
      </c>
      <c r="T72" s="19" t="str">
        <f t="shared" si="7"/>
        <v>X</v>
      </c>
    </row>
    <row r="73" spans="1:20" ht="27.75" customHeight="1">
      <c r="A73" s="17">
        <v>70</v>
      </c>
      <c r="B73" s="14" t="s">
        <v>17</v>
      </c>
      <c r="C73" s="13" t="s">
        <v>52</v>
      </c>
      <c r="D73" s="1" t="s">
        <v>25</v>
      </c>
      <c r="E73" s="7">
        <v>30000</v>
      </c>
      <c r="F73" s="6">
        <v>6</v>
      </c>
      <c r="G73" s="12">
        <f t="shared" si="0"/>
        <v>180000</v>
      </c>
      <c r="H73" s="87" t="s">
        <v>218</v>
      </c>
      <c r="I73" s="1" t="s">
        <v>300</v>
      </c>
      <c r="J73" s="2">
        <v>0</v>
      </c>
      <c r="K73" s="3">
        <f>39664+300000-52605-13703-6825-61956-J73</f>
        <v>204575</v>
      </c>
      <c r="L73" s="93" t="s">
        <v>348</v>
      </c>
      <c r="M73" s="31" t="s">
        <v>465</v>
      </c>
      <c r="N73" s="20"/>
      <c r="O73" s="19" t="s">
        <v>147</v>
      </c>
      <c r="P73" s="19" t="s">
        <v>246</v>
      </c>
      <c r="Q73" s="41">
        <v>204575</v>
      </c>
      <c r="R73" s="41">
        <v>0</v>
      </c>
      <c r="S73" s="41">
        <f t="shared" si="6"/>
        <v>204575</v>
      </c>
      <c r="T73" s="19" t="str">
        <f t="shared" si="7"/>
        <v>O</v>
      </c>
    </row>
    <row r="74" spans="1:20" ht="27.75" customHeight="1">
      <c r="A74" s="17">
        <v>71</v>
      </c>
      <c r="B74" s="14" t="s">
        <v>40</v>
      </c>
      <c r="C74" s="13" t="s">
        <v>229</v>
      </c>
      <c r="D74" s="1" t="s">
        <v>25</v>
      </c>
      <c r="E74" s="7">
        <v>50000</v>
      </c>
      <c r="F74" s="6">
        <v>6</v>
      </c>
      <c r="G74" s="12">
        <f t="shared" si="0"/>
        <v>300000</v>
      </c>
      <c r="H74" s="87" t="s">
        <v>201</v>
      </c>
      <c r="I74" s="1" t="s">
        <v>227</v>
      </c>
      <c r="J74" s="2">
        <v>-44</v>
      </c>
      <c r="K74" s="3">
        <f>-24769+24769+300000-11519-7175-(-4162)-36815-12891-127221-17220-(-19824)-(-44)-J74</f>
        <v>111233</v>
      </c>
      <c r="M74" s="31" t="s">
        <v>75</v>
      </c>
      <c r="N74" s="109" t="s">
        <v>395</v>
      </c>
      <c r="O74" s="19" t="s">
        <v>163</v>
      </c>
      <c r="P74" s="19" t="s">
        <v>246</v>
      </c>
      <c r="Q74" s="41">
        <v>111145</v>
      </c>
      <c r="R74" s="41">
        <v>-42</v>
      </c>
      <c r="S74" s="41">
        <f t="shared" si="6"/>
        <v>111187</v>
      </c>
      <c r="T74" s="19" t="str">
        <f t="shared" si="7"/>
        <v>X</v>
      </c>
    </row>
    <row r="75" spans="1:20" ht="27.75" customHeight="1">
      <c r="A75" s="17">
        <v>72</v>
      </c>
      <c r="B75" s="14" t="s">
        <v>40</v>
      </c>
      <c r="C75" s="13" t="s">
        <v>84</v>
      </c>
      <c r="D75" s="1" t="s">
        <v>25</v>
      </c>
      <c r="E75" s="7">
        <v>50000</v>
      </c>
      <c r="F75" s="6">
        <v>6</v>
      </c>
      <c r="G75" s="12">
        <f t="shared" si="0"/>
        <v>300000</v>
      </c>
      <c r="H75" s="131" t="s">
        <v>397</v>
      </c>
      <c r="I75" s="127" t="s">
        <v>398</v>
      </c>
      <c r="J75" s="2">
        <v>61806</v>
      </c>
      <c r="K75" s="3">
        <f>300000-61806+11806-J75</f>
        <v>188194</v>
      </c>
      <c r="L75" s="135" t="s">
        <v>394</v>
      </c>
      <c r="M75" s="31" t="s">
        <v>472</v>
      </c>
      <c r="N75" s="109" t="s">
        <v>396</v>
      </c>
      <c r="O75" s="19" t="s">
        <v>148</v>
      </c>
      <c r="P75" s="19" t="s">
        <v>246</v>
      </c>
      <c r="Q75" s="41">
        <v>300000</v>
      </c>
      <c r="R75" s="41">
        <v>58863</v>
      </c>
      <c r="S75" s="41">
        <f t="shared" si="6"/>
        <v>241137</v>
      </c>
      <c r="T75" s="19" t="str">
        <f t="shared" si="7"/>
        <v>X</v>
      </c>
    </row>
    <row r="76" spans="1:20" ht="27.75" customHeight="1">
      <c r="A76" s="17">
        <v>73</v>
      </c>
      <c r="B76" s="16" t="s">
        <v>20</v>
      </c>
      <c r="C76" s="9" t="s">
        <v>0</v>
      </c>
      <c r="D76" s="1" t="s">
        <v>16</v>
      </c>
      <c r="E76" s="7">
        <v>50000</v>
      </c>
      <c r="F76" s="6">
        <v>10</v>
      </c>
      <c r="G76" s="12">
        <f t="shared" si="0"/>
        <v>500000</v>
      </c>
      <c r="H76" s="89" t="s">
        <v>13</v>
      </c>
      <c r="I76" s="89" t="s">
        <v>14</v>
      </c>
      <c r="J76" s="2">
        <v>0</v>
      </c>
      <c r="K76" s="3">
        <f>3112+4900-0-0-J76</f>
        <v>8012</v>
      </c>
      <c r="M76" s="31" t="s">
        <v>465</v>
      </c>
      <c r="N76" s="93" t="s">
        <v>365</v>
      </c>
      <c r="O76" s="19" t="s">
        <v>192</v>
      </c>
      <c r="P76" s="19" t="s">
        <v>248</v>
      </c>
      <c r="Q76" s="41">
        <v>8012</v>
      </c>
      <c r="R76" s="41">
        <v>0</v>
      </c>
      <c r="S76" s="41">
        <f t="shared" si="6"/>
        <v>8012</v>
      </c>
      <c r="T76" s="19" t="str">
        <f t="shared" si="7"/>
        <v>O</v>
      </c>
    </row>
    <row r="77" spans="1:20" ht="27.75" customHeight="1">
      <c r="A77" s="17">
        <v>74</v>
      </c>
      <c r="B77" s="14" t="s">
        <v>40</v>
      </c>
      <c r="C77" s="13" t="s">
        <v>244</v>
      </c>
      <c r="D77" s="1" t="s">
        <v>15</v>
      </c>
      <c r="E77" s="7">
        <v>100000</v>
      </c>
      <c r="F77" s="6">
        <v>3</v>
      </c>
      <c r="G77" s="12">
        <f t="shared" si="0"/>
        <v>300000</v>
      </c>
      <c r="H77" s="87" t="s">
        <v>224</v>
      </c>
      <c r="I77" s="1" t="s">
        <v>138</v>
      </c>
      <c r="J77" s="2">
        <v>28497</v>
      </c>
      <c r="K77" s="3">
        <f>20902+300000-35247-49429-34239-31248-33787-54580-15388-234-28497</f>
        <v>38253</v>
      </c>
      <c r="L77" s="93" t="s">
        <v>357</v>
      </c>
      <c r="M77" s="31" t="s">
        <v>464</v>
      </c>
      <c r="N77" s="40" t="s">
        <v>253</v>
      </c>
      <c r="O77" s="19" t="s">
        <v>164</v>
      </c>
      <c r="P77" s="19" t="s">
        <v>249</v>
      </c>
      <c r="Q77" s="41">
        <v>66750</v>
      </c>
      <c r="R77" s="41">
        <v>27140</v>
      </c>
      <c r="S77" s="41">
        <f t="shared" si="6"/>
        <v>39610</v>
      </c>
      <c r="T77" s="19" t="str">
        <f t="shared" si="7"/>
        <v>X</v>
      </c>
    </row>
    <row r="78" spans="1:20" ht="21" customHeight="1">
      <c r="A78" s="189" t="s">
        <v>18</v>
      </c>
      <c r="B78" s="189"/>
      <c r="C78" s="189"/>
      <c r="D78" s="189"/>
      <c r="E78" s="190">
        <f>SUM(E3:E77)</f>
        <v>6430000</v>
      </c>
      <c r="F78" s="190"/>
      <c r="G78" s="190"/>
      <c r="H78" s="189" t="s">
        <v>23</v>
      </c>
      <c r="I78" s="189"/>
      <c r="J78" s="190">
        <f>SUM(J3:J77)</f>
        <v>2254452</v>
      </c>
      <c r="K78" s="190"/>
    </row>
    <row r="79" spans="1:20" ht="20.25" customHeight="1">
      <c r="A79" s="189" t="s">
        <v>29</v>
      </c>
      <c r="B79" s="189"/>
      <c r="C79" s="189"/>
      <c r="D79" s="189"/>
      <c r="E79" s="190">
        <f>E78-SUMIF(B3:B77,"待續約",E3:E77)</f>
        <v>5280000</v>
      </c>
      <c r="F79" s="190"/>
      <c r="G79" s="190"/>
      <c r="H79" s="191"/>
      <c r="I79" s="192"/>
      <c r="J79" s="193"/>
      <c r="K79" s="194"/>
    </row>
    <row r="80" spans="1:20" ht="21">
      <c r="A80" s="35" t="s">
        <v>19</v>
      </c>
      <c r="B80" s="4">
        <f>COUNTA(C3:C77)</f>
        <v>75</v>
      </c>
      <c r="C80" s="4" t="s">
        <v>20</v>
      </c>
      <c r="D80" s="4">
        <f>COUNTIF(B3:B77,"嚴重")</f>
        <v>6</v>
      </c>
      <c r="E80" s="4" t="s">
        <v>21</v>
      </c>
      <c r="F80" s="4">
        <f>COUNTIF(B3:B77,"逾期")</f>
        <v>10</v>
      </c>
      <c r="G80" s="36"/>
      <c r="H80" s="4" t="s">
        <v>22</v>
      </c>
      <c r="I80" s="4">
        <f>B80-D80-F80</f>
        <v>59</v>
      </c>
      <c r="J80" s="4" t="s">
        <v>7</v>
      </c>
      <c r="K80" s="37">
        <f>J78/E79</f>
        <v>0.42697954545454547</v>
      </c>
    </row>
    <row r="81" spans="1:20" s="21" customFormat="1">
      <c r="A81" s="19" t="s">
        <v>245</v>
      </c>
      <c r="B81" s="19"/>
      <c r="E81" s="38"/>
      <c r="G81" s="39"/>
      <c r="K81" s="19"/>
      <c r="N81" s="19"/>
      <c r="Q81" s="42"/>
      <c r="R81" s="41"/>
      <c r="S81" s="41"/>
      <c r="T81" s="19"/>
    </row>
    <row r="82" spans="1:20">
      <c r="N82" s="21"/>
    </row>
    <row r="84" spans="1:20" ht="18.75">
      <c r="B84" s="14" t="s">
        <v>17</v>
      </c>
      <c r="C84" s="13"/>
    </row>
    <row r="85" spans="1:20" ht="18.75">
      <c r="B85" s="18" t="s">
        <v>93</v>
      </c>
      <c r="C85" s="8"/>
    </row>
    <row r="86" spans="1:20" ht="18.75">
      <c r="B86" s="138" t="s">
        <v>30</v>
      </c>
      <c r="C86" s="139"/>
    </row>
    <row r="87" spans="1:20" ht="18.75">
      <c r="B87" s="30" t="s">
        <v>21</v>
      </c>
      <c r="C87" s="25"/>
    </row>
    <row r="88" spans="1:20" ht="18.75">
      <c r="B88" s="16" t="s">
        <v>20</v>
      </c>
      <c r="C88" s="9"/>
    </row>
  </sheetData>
  <autoFilter ref="A2:S81" xr:uid="{00000000-0009-0000-0000-000008000000}"/>
  <mergeCells count="9">
    <mergeCell ref="A79:D79"/>
    <mergeCell ref="E79:G79"/>
    <mergeCell ref="H79:I79"/>
    <mergeCell ref="J79:K79"/>
    <mergeCell ref="A1:K1"/>
    <mergeCell ref="A78:D78"/>
    <mergeCell ref="E78:G78"/>
    <mergeCell ref="H78:I78"/>
    <mergeCell ref="J78:K78"/>
  </mergeCells>
  <phoneticPr fontId="54" type="noConversion"/>
  <conditionalFormatting sqref="A2:C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{98F5636E-33C3-413A-B264-7824692B1295}</x14:id>
        </ext>
      </extLst>
    </cfRule>
  </conditionalFormatting>
  <conditionalFormatting sqref="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{0B96DE2C-1015-48D8-ADA1-E40EF4F02235}</x14:id>
        </ext>
      </extLst>
    </cfRule>
  </conditionalFormatting>
  <conditionalFormatting sqref="E2:I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{FCFDBC51-D78E-41B7-BF01-1BB6F87AFE5C}</x14:id>
        </ext>
      </extLst>
    </cfRule>
  </conditionalFormatting>
  <conditionalFormatting sqref="J2:K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{4F26F451-FD77-4EB0-AA7F-7784B8B5FA9D}</x14:id>
        </ext>
      </extLst>
    </cfRule>
  </conditionalFormatting>
  <pageMargins left="0.31496062992125984" right="0.11811023622047245" top="0.15748031496062992" bottom="0" header="0.31496062992125984" footer="0.31496062992125984"/>
  <pageSetup paperSize="9" scale="65" fitToHeight="0" orientation="portrait" verticalDpi="18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F5636E-33C3-413A-B264-7824692B1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A2:C2</xm:sqref>
        </x14:conditionalFormatting>
        <x14:conditionalFormatting xmlns:xm="http://schemas.microsoft.com/office/excel/2006/main">
          <x14:cfRule type="dataBar" id="{0B96DE2C-1015-48D8-ADA1-E40EF4F022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FCFDBC51-D78E-41B7-BF01-1BB6F87AF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E2:I2</xm:sqref>
        </x14:conditionalFormatting>
        <x14:conditionalFormatting xmlns:xm="http://schemas.microsoft.com/office/excel/2006/main">
          <x14:cfRule type="dataBar" id="{4F26F451-FD77-4EB0-AA7F-7784B8B5F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J2:K2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B133-3B93-4E0B-8AF4-020F05F7E6E3}">
  <sheetPr>
    <pageSetUpPr fitToPage="1"/>
  </sheetPr>
  <dimension ref="A1:T88"/>
  <sheetViews>
    <sheetView zoomScale="80" zoomScaleNormal="80" zoomScaleSheetLayoutView="90" workbookViewId="0">
      <pane ySplit="2" topLeftCell="A54" activePane="bottomLeft" state="frozen"/>
      <selection pane="bottomLeft" activeCell="N67" sqref="N67"/>
    </sheetView>
  </sheetViews>
  <sheetFormatPr defaultRowHeight="15.75"/>
  <cols>
    <col min="1" max="1" width="7.25" style="19" customWidth="1"/>
    <col min="2" max="2" width="12.125" style="19" customWidth="1"/>
    <col min="3" max="3" width="13.5" style="21" customWidth="1"/>
    <col min="4" max="4" width="9.875" style="21" customWidth="1"/>
    <col min="5" max="5" width="14.625" style="21" bestFit="1" customWidth="1"/>
    <col min="6" max="6" width="7.5" style="21" customWidth="1"/>
    <col min="7" max="7" width="14" style="39" customWidth="1"/>
    <col min="8" max="8" width="12.75" style="21" customWidth="1"/>
    <col min="9" max="9" width="14.5" style="21" customWidth="1"/>
    <col min="10" max="10" width="20.25" style="21" customWidth="1"/>
    <col min="11" max="11" width="14.75" style="19" customWidth="1"/>
    <col min="12" max="12" width="9" style="19"/>
    <col min="13" max="13" width="9" style="21" customWidth="1"/>
    <col min="14" max="14" width="46.625" style="19" customWidth="1"/>
    <col min="15" max="15" width="14.375" style="19" customWidth="1"/>
    <col min="16" max="16" width="9" style="19" customWidth="1"/>
    <col min="17" max="18" width="15.25" style="41" customWidth="1"/>
    <col min="19" max="19" width="13" style="41" customWidth="1"/>
    <col min="20" max="21" width="9" style="19" customWidth="1"/>
    <col min="22" max="16384" width="9" style="19"/>
  </cols>
  <sheetData>
    <row r="1" spans="1:20" ht="33.75" customHeight="1">
      <c r="A1" s="195" t="s">
        <v>479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20" s="28" customFormat="1" ht="27" customHeight="1">
      <c r="A2" s="4" t="s">
        <v>5</v>
      </c>
      <c r="B2" s="4" t="s">
        <v>7</v>
      </c>
      <c r="C2" s="4" t="s">
        <v>4</v>
      </c>
      <c r="D2" s="4" t="s">
        <v>8</v>
      </c>
      <c r="E2" s="4" t="s">
        <v>3</v>
      </c>
      <c r="F2" s="4" t="s">
        <v>9</v>
      </c>
      <c r="G2" s="11" t="s">
        <v>2</v>
      </c>
      <c r="H2" s="4" t="s">
        <v>10</v>
      </c>
      <c r="I2" s="4" t="s">
        <v>11</v>
      </c>
      <c r="J2" s="152" t="s">
        <v>478</v>
      </c>
      <c r="K2" s="4" t="s">
        <v>1</v>
      </c>
      <c r="L2" s="28" t="s">
        <v>26</v>
      </c>
      <c r="M2" s="29" t="s">
        <v>271</v>
      </c>
      <c r="N2" s="19" t="s">
        <v>272</v>
      </c>
      <c r="O2" s="28" t="s">
        <v>273</v>
      </c>
      <c r="P2" s="28" t="s">
        <v>274</v>
      </c>
      <c r="Q2" s="43" t="s">
        <v>480</v>
      </c>
      <c r="R2" s="43" t="s">
        <v>481</v>
      </c>
      <c r="S2" s="43" t="s">
        <v>482</v>
      </c>
      <c r="T2" s="28" t="s">
        <v>271</v>
      </c>
    </row>
    <row r="3" spans="1:20" ht="27.75" customHeight="1">
      <c r="A3" s="17">
        <v>1</v>
      </c>
      <c r="B3" s="14" t="s">
        <v>40</v>
      </c>
      <c r="C3" s="13" t="s">
        <v>91</v>
      </c>
      <c r="D3" s="1" t="s">
        <v>15</v>
      </c>
      <c r="E3" s="7">
        <v>100000</v>
      </c>
      <c r="F3" s="6">
        <v>3</v>
      </c>
      <c r="G3" s="12">
        <f>E3*F3</f>
        <v>300000</v>
      </c>
      <c r="H3" s="1" t="s">
        <v>255</v>
      </c>
      <c r="I3" s="1" t="s">
        <v>279</v>
      </c>
      <c r="J3" s="2">
        <v>43298</v>
      </c>
      <c r="K3" s="3">
        <f>300000-55482-(-4155)-121529-39437-43298</f>
        <v>44409</v>
      </c>
      <c r="L3" s="93" t="s">
        <v>350</v>
      </c>
      <c r="M3" s="31" t="s">
        <v>487</v>
      </c>
      <c r="N3" s="78" t="s">
        <v>333</v>
      </c>
      <c r="O3" s="19" t="s">
        <v>101</v>
      </c>
      <c r="P3" s="19" t="s">
        <v>246</v>
      </c>
      <c r="Q3" s="41">
        <v>87707</v>
      </c>
      <c r="R3" s="41">
        <v>46966</v>
      </c>
      <c r="S3" s="41">
        <f>Q3-R3</f>
        <v>40741</v>
      </c>
      <c r="T3" s="19" t="str">
        <f>IF(K3=S3,"O","X")</f>
        <v>X</v>
      </c>
    </row>
    <row r="4" spans="1:20" ht="27.75" customHeight="1">
      <c r="A4" s="17">
        <v>2</v>
      </c>
      <c r="B4" s="14" t="s">
        <v>40</v>
      </c>
      <c r="C4" s="13" t="s">
        <v>275</v>
      </c>
      <c r="D4" s="1" t="s">
        <v>24</v>
      </c>
      <c r="E4" s="7">
        <v>300000</v>
      </c>
      <c r="F4" s="6">
        <v>1</v>
      </c>
      <c r="G4" s="12">
        <f t="shared" ref="G4:G77" si="0">E4*F4</f>
        <v>300000</v>
      </c>
      <c r="H4" s="127" t="s">
        <v>300</v>
      </c>
      <c r="I4" s="127" t="s">
        <v>476</v>
      </c>
      <c r="J4" s="2">
        <v>41677</v>
      </c>
      <c r="K4" s="3">
        <f>300000-41677</f>
        <v>258323</v>
      </c>
      <c r="L4" s="150" t="s">
        <v>475</v>
      </c>
      <c r="M4" s="31" t="s">
        <v>487</v>
      </c>
      <c r="N4" s="151" t="s">
        <v>477</v>
      </c>
      <c r="O4" s="19" t="s">
        <v>179</v>
      </c>
      <c r="P4" s="19" t="s">
        <v>247</v>
      </c>
      <c r="Q4" s="41">
        <v>259579</v>
      </c>
      <c r="R4" s="41">
        <v>19012</v>
      </c>
      <c r="S4" s="41">
        <f t="shared" ref="S4:S68" si="1">Q4-R4</f>
        <v>240567</v>
      </c>
      <c r="T4" s="19" t="str">
        <f t="shared" ref="T4:T68" si="2">IF(K4=S4,"O","X")</f>
        <v>X</v>
      </c>
    </row>
    <row r="5" spans="1:20" ht="27.75" customHeight="1">
      <c r="A5" s="17">
        <v>3</v>
      </c>
      <c r="B5" s="14" t="s">
        <v>40</v>
      </c>
      <c r="C5" s="13" t="s">
        <v>230</v>
      </c>
      <c r="D5" s="1" t="s">
        <v>24</v>
      </c>
      <c r="E5" s="7">
        <v>150000</v>
      </c>
      <c r="F5" s="6">
        <v>6</v>
      </c>
      <c r="G5" s="12">
        <f t="shared" si="0"/>
        <v>900000</v>
      </c>
      <c r="H5" s="127" t="s">
        <v>292</v>
      </c>
      <c r="I5" s="127" t="s">
        <v>390</v>
      </c>
      <c r="J5" s="2">
        <v>23300</v>
      </c>
      <c r="K5" s="3">
        <f>900000+128-30357-42637-32809-54163-40336-70692-80277-67994-120766-41934-50426-57745-19504-23134-80436-41158-17460-8820-1925-49010+31455+900000-73127-23300</f>
        <v>803573</v>
      </c>
      <c r="L5" s="133" t="s">
        <v>389</v>
      </c>
      <c r="M5" s="31" t="s">
        <v>486</v>
      </c>
      <c r="N5" s="104" t="s">
        <v>388</v>
      </c>
      <c r="O5" s="19" t="s">
        <v>102</v>
      </c>
      <c r="P5" s="19" t="s">
        <v>246</v>
      </c>
      <c r="Q5" s="41">
        <v>826873</v>
      </c>
      <c r="R5" s="41">
        <v>22190</v>
      </c>
      <c r="S5" s="41">
        <f t="shared" si="1"/>
        <v>804683</v>
      </c>
      <c r="T5" s="19" t="str">
        <f t="shared" si="2"/>
        <v>X</v>
      </c>
    </row>
    <row r="6" spans="1:20" ht="27.75" customHeight="1">
      <c r="A6" s="17">
        <v>4</v>
      </c>
      <c r="B6" s="14" t="s">
        <v>40</v>
      </c>
      <c r="C6" s="13" t="s">
        <v>319</v>
      </c>
      <c r="D6" s="1" t="s">
        <v>24</v>
      </c>
      <c r="E6" s="7">
        <v>100000</v>
      </c>
      <c r="F6" s="6">
        <v>3</v>
      </c>
      <c r="G6" s="12">
        <f t="shared" si="0"/>
        <v>300000</v>
      </c>
      <c r="H6" s="1" t="s">
        <v>74</v>
      </c>
      <c r="I6" s="1" t="s">
        <v>88</v>
      </c>
      <c r="J6" s="2">
        <v>-1172</v>
      </c>
      <c r="K6" s="3">
        <f>491+5116-5607+300000-(-2982)-22961-72363-28525-(-1184)-66700-60082-18086-12062-12833-(-1172)</f>
        <v>11726</v>
      </c>
      <c r="M6" s="31" t="s">
        <v>487</v>
      </c>
      <c r="N6" s="19" t="s">
        <v>194</v>
      </c>
      <c r="O6" s="19" t="s">
        <v>135</v>
      </c>
      <c r="P6" s="19" t="s">
        <v>247</v>
      </c>
      <c r="Q6" s="41">
        <v>10554</v>
      </c>
      <c r="R6" s="41">
        <v>-1116</v>
      </c>
      <c r="S6" s="41">
        <f t="shared" si="1"/>
        <v>11670</v>
      </c>
      <c r="T6" s="19" t="str">
        <f t="shared" si="2"/>
        <v>X</v>
      </c>
    </row>
    <row r="7" spans="1:20" ht="27.75" customHeight="1">
      <c r="A7" s="17">
        <v>5</v>
      </c>
      <c r="B7" s="30" t="s">
        <v>21</v>
      </c>
      <c r="C7" s="25" t="s">
        <v>320</v>
      </c>
      <c r="D7" s="1" t="s">
        <v>24</v>
      </c>
      <c r="E7" s="7">
        <v>100000</v>
      </c>
      <c r="F7" s="6">
        <v>3</v>
      </c>
      <c r="G7" s="12">
        <f t="shared" si="0"/>
        <v>300000</v>
      </c>
      <c r="H7" s="86" t="s">
        <v>70</v>
      </c>
      <c r="I7" s="86" t="s">
        <v>69</v>
      </c>
      <c r="J7" s="2">
        <v>13352</v>
      </c>
      <c r="K7" s="3">
        <f>300000-110880-13703+275-983-2667-76360-1515-284-(-402)-0-9293-0-336-0-(-1859)-13352</f>
        <v>73163</v>
      </c>
      <c r="M7" s="31" t="s">
        <v>494</v>
      </c>
      <c r="O7" s="19" t="s">
        <v>124</v>
      </c>
      <c r="P7" s="19" t="s">
        <v>248</v>
      </c>
      <c r="Q7" s="41">
        <v>86515</v>
      </c>
      <c r="R7" s="41">
        <v>12716</v>
      </c>
      <c r="S7" s="41">
        <f t="shared" si="1"/>
        <v>73799</v>
      </c>
      <c r="T7" s="19" t="str">
        <f t="shared" si="2"/>
        <v>X</v>
      </c>
    </row>
    <row r="8" spans="1:20" ht="27.75" customHeight="1">
      <c r="A8" s="17">
        <v>6</v>
      </c>
      <c r="B8" s="30" t="s">
        <v>21</v>
      </c>
      <c r="C8" s="25" t="s">
        <v>321</v>
      </c>
      <c r="D8" s="1" t="s">
        <v>24</v>
      </c>
      <c r="E8" s="7">
        <v>300000</v>
      </c>
      <c r="F8" s="6">
        <v>1</v>
      </c>
      <c r="G8" s="12">
        <f t="shared" si="0"/>
        <v>300000</v>
      </c>
      <c r="H8" s="86" t="s">
        <v>69</v>
      </c>
      <c r="I8" s="86" t="s">
        <v>384</v>
      </c>
      <c r="J8" s="2">
        <v>0</v>
      </c>
      <c r="K8" s="3">
        <f>12197+300000-6426-118879-0-(-13440)-7497-95-J8</f>
        <v>192740</v>
      </c>
      <c r="M8" s="49" t="s">
        <v>484</v>
      </c>
      <c r="N8" s="19" t="s">
        <v>99</v>
      </c>
      <c r="O8" s="19" t="s">
        <v>103</v>
      </c>
      <c r="P8" s="169" t="s">
        <v>502</v>
      </c>
      <c r="Q8" s="41">
        <v>192740</v>
      </c>
      <c r="R8" s="41">
        <v>0</v>
      </c>
      <c r="S8" s="41">
        <f t="shared" si="1"/>
        <v>192740</v>
      </c>
      <c r="T8" s="19" t="str">
        <f t="shared" si="2"/>
        <v>O</v>
      </c>
    </row>
    <row r="9" spans="1:20" ht="27.75" customHeight="1">
      <c r="A9" s="17">
        <v>7</v>
      </c>
      <c r="B9" s="18" t="s">
        <v>44</v>
      </c>
      <c r="C9" s="8" t="s">
        <v>282</v>
      </c>
      <c r="D9" s="1" t="s">
        <v>24</v>
      </c>
      <c r="E9" s="7">
        <v>100000</v>
      </c>
      <c r="F9" s="6">
        <v>3</v>
      </c>
      <c r="G9" s="12">
        <f t="shared" si="0"/>
        <v>300000</v>
      </c>
      <c r="H9" s="164" t="s">
        <v>495</v>
      </c>
      <c r="I9" s="164" t="s">
        <v>476</v>
      </c>
      <c r="J9" s="2">
        <v>34860</v>
      </c>
      <c r="K9" s="3">
        <f>300000-34860</f>
        <v>265140</v>
      </c>
      <c r="L9" s="163" t="s">
        <v>493</v>
      </c>
      <c r="M9" s="31" t="s">
        <v>494</v>
      </c>
      <c r="N9" s="165" t="s">
        <v>496</v>
      </c>
      <c r="O9" s="19" t="s">
        <v>104</v>
      </c>
      <c r="P9" s="19" t="s">
        <v>248</v>
      </c>
      <c r="Q9" s="41">
        <v>0</v>
      </c>
      <c r="R9" s="41">
        <v>51085</v>
      </c>
      <c r="S9" s="41">
        <f t="shared" si="1"/>
        <v>-51085</v>
      </c>
      <c r="T9" s="19" t="str">
        <f t="shared" si="2"/>
        <v>X</v>
      </c>
    </row>
    <row r="10" spans="1:20" ht="27.75" customHeight="1">
      <c r="A10" s="17">
        <v>8</v>
      </c>
      <c r="B10" s="14" t="s">
        <v>40</v>
      </c>
      <c r="C10" s="13" t="s">
        <v>199</v>
      </c>
      <c r="D10" s="1" t="s">
        <v>24</v>
      </c>
      <c r="E10" s="7">
        <v>100000</v>
      </c>
      <c r="F10" s="6">
        <v>3</v>
      </c>
      <c r="G10" s="12">
        <f t="shared" si="0"/>
        <v>300000</v>
      </c>
      <c r="H10" s="127" t="s">
        <v>300</v>
      </c>
      <c r="I10" s="127" t="s">
        <v>476</v>
      </c>
      <c r="J10" s="2">
        <v>115450</v>
      </c>
      <c r="K10" s="3">
        <f>20777+300000-115450</f>
        <v>205327</v>
      </c>
      <c r="L10" s="154" t="s">
        <v>483</v>
      </c>
      <c r="M10" s="31" t="s">
        <v>487</v>
      </c>
      <c r="N10" s="157" t="s">
        <v>490</v>
      </c>
      <c r="O10" s="19" t="s">
        <v>105</v>
      </c>
      <c r="P10" s="169" t="s">
        <v>502</v>
      </c>
      <c r="Q10" s="41">
        <v>20777</v>
      </c>
      <c r="R10" s="41">
        <v>116057</v>
      </c>
      <c r="S10" s="41">
        <f t="shared" si="1"/>
        <v>-95280</v>
      </c>
      <c r="T10" s="19" t="str">
        <f t="shared" si="2"/>
        <v>X</v>
      </c>
    </row>
    <row r="11" spans="1:20" ht="27.75" customHeight="1">
      <c r="A11" s="17">
        <v>9</v>
      </c>
      <c r="B11" s="18" t="s">
        <v>44</v>
      </c>
      <c r="C11" s="8" t="s">
        <v>96</v>
      </c>
      <c r="D11" s="1" t="s">
        <v>25</v>
      </c>
      <c r="E11" s="7">
        <v>50000</v>
      </c>
      <c r="F11" s="6">
        <v>6</v>
      </c>
      <c r="G11" s="12">
        <f t="shared" si="0"/>
        <v>300000</v>
      </c>
      <c r="H11" s="166" t="s">
        <v>437</v>
      </c>
      <c r="I11" s="166" t="s">
        <v>498</v>
      </c>
      <c r="J11" s="2">
        <v>8915</v>
      </c>
      <c r="K11" s="3">
        <f>0-8915+8915</f>
        <v>0</v>
      </c>
      <c r="L11" s="167" t="s">
        <v>499</v>
      </c>
      <c r="M11" s="31" t="s">
        <v>497</v>
      </c>
      <c r="N11" s="168" t="s">
        <v>500</v>
      </c>
      <c r="O11" s="19" t="s">
        <v>154</v>
      </c>
      <c r="P11" s="169" t="s">
        <v>502</v>
      </c>
      <c r="Q11" s="41">
        <v>-18726</v>
      </c>
      <c r="R11" s="41">
        <v>8490</v>
      </c>
      <c r="S11" s="41">
        <f t="shared" si="1"/>
        <v>-27216</v>
      </c>
      <c r="T11" s="19" t="str">
        <f t="shared" si="2"/>
        <v>X</v>
      </c>
    </row>
    <row r="12" spans="1:20" ht="27.75" customHeight="1">
      <c r="A12" s="17">
        <v>10</v>
      </c>
      <c r="B12" s="14" t="s">
        <v>40</v>
      </c>
      <c r="C12" s="13" t="s">
        <v>92</v>
      </c>
      <c r="D12" s="1" t="s">
        <v>25</v>
      </c>
      <c r="E12" s="7">
        <v>50000</v>
      </c>
      <c r="F12" s="6">
        <v>6</v>
      </c>
      <c r="G12" s="12">
        <f t="shared" si="0"/>
        <v>300000</v>
      </c>
      <c r="H12" s="1" t="s">
        <v>74</v>
      </c>
      <c r="I12" s="1" t="s">
        <v>218</v>
      </c>
      <c r="J12" s="2">
        <v>43050</v>
      </c>
      <c r="K12" s="3">
        <f>62665+325825-138490-(-1302)-3503-48038-2835-13986-10080-1033-(-504)-43050</f>
        <v>129281</v>
      </c>
      <c r="M12" s="31" t="s">
        <v>494</v>
      </c>
      <c r="N12" s="19" t="s">
        <v>209</v>
      </c>
      <c r="O12" s="19" t="s">
        <v>106</v>
      </c>
      <c r="P12" s="169" t="s">
        <v>503</v>
      </c>
      <c r="Q12" s="41">
        <v>172331</v>
      </c>
      <c r="R12" s="41">
        <v>67316</v>
      </c>
      <c r="S12" s="41">
        <f t="shared" si="1"/>
        <v>105015</v>
      </c>
      <c r="T12" s="19" t="str">
        <f t="shared" si="2"/>
        <v>X</v>
      </c>
    </row>
    <row r="13" spans="1:20" ht="27.75" customHeight="1">
      <c r="A13" s="17">
        <v>11</v>
      </c>
      <c r="B13" s="18" t="s">
        <v>44</v>
      </c>
      <c r="C13" s="8" t="s">
        <v>94</v>
      </c>
      <c r="D13" s="1" t="s">
        <v>25</v>
      </c>
      <c r="E13" s="7">
        <v>50000</v>
      </c>
      <c r="F13" s="6">
        <v>6</v>
      </c>
      <c r="G13" s="12">
        <f t="shared" si="0"/>
        <v>300000</v>
      </c>
      <c r="H13" s="1" t="s">
        <v>50</v>
      </c>
      <c r="I13" s="1" t="s">
        <v>67</v>
      </c>
      <c r="J13" s="2">
        <v>-3090</v>
      </c>
      <c r="K13" s="3">
        <f>0-J13</f>
        <v>3090</v>
      </c>
      <c r="L13" s="94" t="s">
        <v>26</v>
      </c>
      <c r="M13" s="31"/>
      <c r="N13" s="149" t="s">
        <v>471</v>
      </c>
      <c r="O13" s="19" t="s">
        <v>153</v>
      </c>
      <c r="P13" s="169" t="s">
        <v>502</v>
      </c>
      <c r="Q13" s="41">
        <v>0</v>
      </c>
      <c r="R13" s="41">
        <v>-3090</v>
      </c>
      <c r="S13" s="41">
        <f t="shared" si="1"/>
        <v>3090</v>
      </c>
      <c r="T13" s="19" t="str">
        <f t="shared" si="2"/>
        <v>O</v>
      </c>
    </row>
    <row r="14" spans="1:20" ht="27.75" customHeight="1">
      <c r="A14" s="17">
        <v>12</v>
      </c>
      <c r="B14" s="14" t="s">
        <v>40</v>
      </c>
      <c r="C14" s="13" t="s">
        <v>208</v>
      </c>
      <c r="D14" s="1" t="s">
        <v>15</v>
      </c>
      <c r="E14" s="7">
        <v>100000</v>
      </c>
      <c r="F14" s="6">
        <v>4</v>
      </c>
      <c r="G14" s="12">
        <f t="shared" si="0"/>
        <v>400000</v>
      </c>
      <c r="H14" s="1" t="s">
        <v>215</v>
      </c>
      <c r="I14" s="1" t="s">
        <v>216</v>
      </c>
      <c r="J14" s="2">
        <v>26158</v>
      </c>
      <c r="K14" s="3">
        <f>40795+400000-59317-2730-3-(-337)-66864-7508-12075-0-15939-6300-69258-26158</f>
        <v>174980</v>
      </c>
      <c r="M14" s="31" t="s">
        <v>491</v>
      </c>
      <c r="N14" s="19" t="s">
        <v>213</v>
      </c>
      <c r="O14" s="19" t="s">
        <v>149</v>
      </c>
      <c r="P14" s="19" t="s">
        <v>246</v>
      </c>
      <c r="Q14" s="41">
        <v>201138</v>
      </c>
      <c r="R14" s="41">
        <v>24912</v>
      </c>
      <c r="S14" s="41">
        <f t="shared" si="1"/>
        <v>176226</v>
      </c>
      <c r="T14" s="19" t="str">
        <f t="shared" si="2"/>
        <v>X</v>
      </c>
    </row>
    <row r="15" spans="1:20" ht="27.75" customHeight="1">
      <c r="A15" s="17">
        <v>13</v>
      </c>
      <c r="B15" s="14" t="s">
        <v>40</v>
      </c>
      <c r="C15" s="13" t="s">
        <v>322</v>
      </c>
      <c r="D15" s="1" t="s">
        <v>24</v>
      </c>
      <c r="E15" s="7">
        <v>100000</v>
      </c>
      <c r="F15" s="6">
        <v>2</v>
      </c>
      <c r="G15" s="12">
        <f t="shared" si="0"/>
        <v>200000</v>
      </c>
      <c r="H15" s="1" t="s">
        <v>201</v>
      </c>
      <c r="I15" s="1" t="s">
        <v>217</v>
      </c>
      <c r="J15" s="2">
        <v>0</v>
      </c>
      <c r="K15" s="3">
        <f>-(-7344)+200000-9702-J15</f>
        <v>197642</v>
      </c>
      <c r="M15" s="49" t="s">
        <v>484</v>
      </c>
      <c r="N15" s="19" t="s">
        <v>214</v>
      </c>
      <c r="O15" s="19" t="s">
        <v>152</v>
      </c>
      <c r="P15" s="19" t="s">
        <v>246</v>
      </c>
      <c r="Q15" s="41">
        <v>197642</v>
      </c>
      <c r="R15" s="41">
        <v>0</v>
      </c>
      <c r="S15" s="41">
        <f t="shared" si="1"/>
        <v>197642</v>
      </c>
      <c r="T15" s="19" t="str">
        <f t="shared" si="2"/>
        <v>O</v>
      </c>
    </row>
    <row r="16" spans="1:20" ht="27.75" customHeight="1">
      <c r="A16" s="17">
        <v>14</v>
      </c>
      <c r="B16" s="14" t="s">
        <v>40</v>
      </c>
      <c r="C16" s="13" t="s">
        <v>180</v>
      </c>
      <c r="D16" s="1" t="s">
        <v>25</v>
      </c>
      <c r="E16" s="7">
        <v>50000</v>
      </c>
      <c r="F16" s="6">
        <v>6</v>
      </c>
      <c r="G16" s="12">
        <f t="shared" si="0"/>
        <v>300000</v>
      </c>
      <c r="H16" s="1" t="s">
        <v>74</v>
      </c>
      <c r="I16" s="1" t="s">
        <v>218</v>
      </c>
      <c r="J16" s="2">
        <v>18970</v>
      </c>
      <c r="K16" s="3">
        <f>300000-19677-24570-5114-5027-17277-0-52504-11933-3910-18970</f>
        <v>141018</v>
      </c>
      <c r="M16" s="31" t="s">
        <v>494</v>
      </c>
      <c r="N16" s="19" t="s">
        <v>220</v>
      </c>
      <c r="O16" s="19" t="s">
        <v>137</v>
      </c>
      <c r="P16" s="19" t="s">
        <v>247</v>
      </c>
      <c r="Q16" s="41">
        <v>159988</v>
      </c>
      <c r="R16" s="41">
        <v>22882</v>
      </c>
      <c r="S16" s="41">
        <f t="shared" si="1"/>
        <v>137106</v>
      </c>
      <c r="T16" s="19" t="str">
        <f t="shared" si="2"/>
        <v>X</v>
      </c>
    </row>
    <row r="17" spans="1:20" ht="27.75" customHeight="1">
      <c r="A17" s="17">
        <v>15</v>
      </c>
      <c r="B17" s="14" t="s">
        <v>40</v>
      </c>
      <c r="C17" s="13" t="s">
        <v>259</v>
      </c>
      <c r="D17" s="1" t="s">
        <v>25</v>
      </c>
      <c r="E17" s="7">
        <v>50000</v>
      </c>
      <c r="F17" s="6">
        <v>6</v>
      </c>
      <c r="G17" s="12">
        <f t="shared" si="0"/>
        <v>300000</v>
      </c>
      <c r="H17" s="127" t="s">
        <v>279</v>
      </c>
      <c r="I17" s="127" t="s">
        <v>399</v>
      </c>
      <c r="J17" s="2">
        <v>77765</v>
      </c>
      <c r="K17" s="3">
        <f>5398+300000-41267-20021-34671-37918-72589-84246+300000-46111-65034-77765</f>
        <v>125776</v>
      </c>
      <c r="L17" s="133" t="s">
        <v>394</v>
      </c>
      <c r="M17" s="31" t="s">
        <v>494</v>
      </c>
      <c r="N17" s="111" t="s">
        <v>401</v>
      </c>
      <c r="O17" s="19" t="s">
        <v>151</v>
      </c>
      <c r="P17" s="19" t="s">
        <v>247</v>
      </c>
      <c r="Q17" s="41">
        <v>203541</v>
      </c>
      <c r="R17" s="41">
        <v>71312</v>
      </c>
      <c r="S17" s="41">
        <f t="shared" si="1"/>
        <v>132229</v>
      </c>
      <c r="T17" s="19" t="str">
        <f t="shared" si="2"/>
        <v>X</v>
      </c>
    </row>
    <row r="18" spans="1:20" ht="27.75" customHeight="1">
      <c r="A18" s="17">
        <v>16</v>
      </c>
      <c r="B18" s="14" t="s">
        <v>40</v>
      </c>
      <c r="C18" s="13" t="s">
        <v>181</v>
      </c>
      <c r="D18" s="1" t="s">
        <v>24</v>
      </c>
      <c r="E18" s="7">
        <v>100000</v>
      </c>
      <c r="F18" s="6">
        <v>3</v>
      </c>
      <c r="G18" s="12">
        <f t="shared" si="0"/>
        <v>300000</v>
      </c>
      <c r="H18" s="1" t="s">
        <v>279</v>
      </c>
      <c r="I18" s="1" t="s">
        <v>300</v>
      </c>
      <c r="J18" s="2">
        <v>62368</v>
      </c>
      <c r="K18" s="3">
        <f>26337-39367+300000-139673+13030-61529-62368</f>
        <v>36430</v>
      </c>
      <c r="L18" s="107" t="s">
        <v>375</v>
      </c>
      <c r="M18" s="31" t="s">
        <v>487</v>
      </c>
      <c r="N18" s="48" t="s">
        <v>288</v>
      </c>
      <c r="O18" s="19" t="s">
        <v>155</v>
      </c>
      <c r="P18" s="19" t="s">
        <v>248</v>
      </c>
      <c r="Q18" s="41">
        <v>98798</v>
      </c>
      <c r="R18" s="41">
        <v>52582</v>
      </c>
      <c r="S18" s="41">
        <f t="shared" si="1"/>
        <v>46216</v>
      </c>
      <c r="T18" s="19" t="str">
        <f t="shared" si="2"/>
        <v>X</v>
      </c>
    </row>
    <row r="19" spans="1:20" ht="27.75" customHeight="1">
      <c r="A19" s="17">
        <v>17</v>
      </c>
      <c r="B19" s="14" t="s">
        <v>17</v>
      </c>
      <c r="C19" s="13" t="s">
        <v>173</v>
      </c>
      <c r="D19" s="1" t="s">
        <v>25</v>
      </c>
      <c r="E19" s="7">
        <v>50000</v>
      </c>
      <c r="F19" s="6">
        <v>6</v>
      </c>
      <c r="G19" s="12">
        <f t="shared" si="0"/>
        <v>300000</v>
      </c>
      <c r="H19" s="87" t="s">
        <v>255</v>
      </c>
      <c r="I19" s="1" t="s">
        <v>269</v>
      </c>
      <c r="J19" s="2">
        <v>29119</v>
      </c>
      <c r="K19" s="3">
        <f>64639+300000-141919-27715-50376-65175-29119</f>
        <v>50335</v>
      </c>
      <c r="L19" s="93" t="s">
        <v>351</v>
      </c>
      <c r="M19" s="31" t="s">
        <v>486</v>
      </c>
      <c r="N19" s="83" t="s">
        <v>339</v>
      </c>
      <c r="O19" s="19" t="s">
        <v>107</v>
      </c>
      <c r="P19" s="19" t="s">
        <v>248</v>
      </c>
      <c r="Q19" s="41">
        <v>79454</v>
      </c>
      <c r="R19" s="41">
        <v>36832</v>
      </c>
      <c r="S19" s="41">
        <f t="shared" si="1"/>
        <v>42622</v>
      </c>
      <c r="T19" s="19" t="str">
        <f t="shared" si="2"/>
        <v>X</v>
      </c>
    </row>
    <row r="20" spans="1:20" ht="27.75" customHeight="1">
      <c r="A20" s="17">
        <v>18</v>
      </c>
      <c r="B20" s="14" t="s">
        <v>40</v>
      </c>
      <c r="C20" s="13" t="s">
        <v>182</v>
      </c>
      <c r="D20" s="1" t="s">
        <v>15</v>
      </c>
      <c r="E20" s="7">
        <v>100000</v>
      </c>
      <c r="F20" s="6">
        <v>3</v>
      </c>
      <c r="G20" s="12">
        <f t="shared" si="0"/>
        <v>300000</v>
      </c>
      <c r="H20" s="127" t="s">
        <v>292</v>
      </c>
      <c r="I20" s="127" t="s">
        <v>390</v>
      </c>
      <c r="J20" s="22">
        <v>88427</v>
      </c>
      <c r="K20" s="3">
        <f>600000-43172-88427</f>
        <v>468401</v>
      </c>
      <c r="L20" s="134" t="s">
        <v>404</v>
      </c>
      <c r="M20" s="31" t="s">
        <v>494</v>
      </c>
      <c r="N20" s="112" t="s">
        <v>403</v>
      </c>
      <c r="O20" s="19" t="s">
        <v>126</v>
      </c>
      <c r="P20" s="34" t="s">
        <v>248</v>
      </c>
      <c r="Q20" s="41">
        <v>556828</v>
      </c>
      <c r="R20" s="41">
        <v>109676</v>
      </c>
      <c r="S20" s="41">
        <f t="shared" si="1"/>
        <v>447152</v>
      </c>
      <c r="T20" s="19" t="str">
        <f t="shared" si="2"/>
        <v>X</v>
      </c>
    </row>
    <row r="21" spans="1:20" ht="27.75" customHeight="1">
      <c r="A21" s="17">
        <v>19</v>
      </c>
      <c r="B21" s="14" t="s">
        <v>17</v>
      </c>
      <c r="C21" s="13" t="s">
        <v>306</v>
      </c>
      <c r="D21" s="1" t="s">
        <v>24</v>
      </c>
      <c r="E21" s="7">
        <v>100000</v>
      </c>
      <c r="F21" s="6">
        <v>1</v>
      </c>
      <c r="G21" s="12">
        <f t="shared" si="0"/>
        <v>100000</v>
      </c>
      <c r="H21" s="1" t="s">
        <v>307</v>
      </c>
      <c r="I21" s="1" t="s">
        <v>385</v>
      </c>
      <c r="J21" s="22">
        <v>0</v>
      </c>
      <c r="K21" s="3">
        <f>100000-18560-7812-15030-J21</f>
        <v>58598</v>
      </c>
      <c r="L21" s="93" t="s">
        <v>347</v>
      </c>
      <c r="M21" s="49" t="s">
        <v>484</v>
      </c>
      <c r="N21" s="64" t="s">
        <v>308</v>
      </c>
      <c r="O21" s="66" t="s">
        <v>313</v>
      </c>
      <c r="P21" s="169" t="s">
        <v>503</v>
      </c>
      <c r="Q21" s="41">
        <v>58598</v>
      </c>
      <c r="R21" s="41">
        <v>0</v>
      </c>
      <c r="S21" s="41">
        <f t="shared" si="1"/>
        <v>58598</v>
      </c>
      <c r="T21" s="19" t="str">
        <f t="shared" si="2"/>
        <v>O</v>
      </c>
    </row>
    <row r="22" spans="1:20" ht="27.75" customHeight="1">
      <c r="A22" s="17">
        <v>20</v>
      </c>
      <c r="B22" s="14" t="s">
        <v>17</v>
      </c>
      <c r="C22" s="13" t="s">
        <v>231</v>
      </c>
      <c r="D22" s="1" t="s">
        <v>24</v>
      </c>
      <c r="E22" s="7">
        <v>100000</v>
      </c>
      <c r="F22" s="6">
        <v>3</v>
      </c>
      <c r="G22" s="12">
        <f t="shared" si="0"/>
        <v>300000</v>
      </c>
      <c r="H22" s="85" t="s">
        <v>292</v>
      </c>
      <c r="I22" s="85" t="s">
        <v>437</v>
      </c>
      <c r="J22" s="2">
        <v>12713</v>
      </c>
      <c r="K22" s="3">
        <f>107380-196351+300000-12713</f>
        <v>198316</v>
      </c>
      <c r="L22" s="143" t="s">
        <v>456</v>
      </c>
      <c r="M22" s="31" t="s">
        <v>486</v>
      </c>
      <c r="N22" s="145" t="s">
        <v>457</v>
      </c>
      <c r="O22" s="19" t="s">
        <v>166</v>
      </c>
      <c r="P22" s="19" t="s">
        <v>248</v>
      </c>
      <c r="Q22" s="41">
        <v>211029</v>
      </c>
      <c r="R22" s="41">
        <v>12108</v>
      </c>
      <c r="S22" s="41">
        <f t="shared" si="1"/>
        <v>198921</v>
      </c>
      <c r="T22" s="19" t="str">
        <f t="shared" si="2"/>
        <v>X</v>
      </c>
    </row>
    <row r="23" spans="1:20" ht="27.75" customHeight="1">
      <c r="A23" s="17">
        <v>21</v>
      </c>
      <c r="B23" s="14" t="s">
        <v>17</v>
      </c>
      <c r="C23" s="13" t="s">
        <v>232</v>
      </c>
      <c r="D23" s="1" t="s">
        <v>15</v>
      </c>
      <c r="E23" s="7">
        <v>200000</v>
      </c>
      <c r="F23" s="6">
        <v>6</v>
      </c>
      <c r="G23" s="12">
        <f>E23*F23</f>
        <v>1200000</v>
      </c>
      <c r="H23" s="1" t="s">
        <v>202</v>
      </c>
      <c r="I23" s="1" t="s">
        <v>292</v>
      </c>
      <c r="J23" s="2">
        <v>112619</v>
      </c>
      <c r="K23" s="3">
        <f>28769+200000*6-219109-241221-133770-68149-49980-138647-112619</f>
        <v>265274</v>
      </c>
      <c r="L23" s="50" t="s">
        <v>291</v>
      </c>
      <c r="M23" s="31" t="s">
        <v>485</v>
      </c>
      <c r="N23" s="51" t="s">
        <v>293</v>
      </c>
      <c r="O23" s="19" t="s">
        <v>119</v>
      </c>
      <c r="P23" s="19" t="s">
        <v>246</v>
      </c>
      <c r="Q23" s="41">
        <v>377893</v>
      </c>
      <c r="R23" s="41">
        <v>137025</v>
      </c>
      <c r="S23" s="41">
        <f t="shared" si="1"/>
        <v>240868</v>
      </c>
      <c r="T23" s="19" t="str">
        <f t="shared" si="2"/>
        <v>X</v>
      </c>
    </row>
    <row r="24" spans="1:20" ht="27.75" customHeight="1">
      <c r="A24" s="17">
        <v>22</v>
      </c>
      <c r="B24" s="14" t="s">
        <v>17</v>
      </c>
      <c r="C24" s="13" t="s">
        <v>97</v>
      </c>
      <c r="D24" s="1" t="s">
        <v>24</v>
      </c>
      <c r="E24" s="7">
        <v>100000</v>
      </c>
      <c r="F24" s="6">
        <v>3</v>
      </c>
      <c r="G24" s="12">
        <f t="shared" si="0"/>
        <v>300000</v>
      </c>
      <c r="H24" s="127" t="s">
        <v>292</v>
      </c>
      <c r="I24" s="127" t="s">
        <v>437</v>
      </c>
      <c r="J24" s="2">
        <v>2575</v>
      </c>
      <c r="K24" s="3">
        <f>300000-106421-2575</f>
        <v>191004</v>
      </c>
      <c r="L24" s="128" t="s">
        <v>435</v>
      </c>
      <c r="M24" s="31" t="s">
        <v>485</v>
      </c>
      <c r="N24" s="130" t="s">
        <v>436</v>
      </c>
      <c r="O24" s="19" t="s">
        <v>150</v>
      </c>
      <c r="P24" s="19" t="s">
        <v>246</v>
      </c>
      <c r="Q24" s="41">
        <v>193579</v>
      </c>
      <c r="R24" s="41">
        <v>17462</v>
      </c>
      <c r="S24" s="41">
        <f t="shared" si="1"/>
        <v>176117</v>
      </c>
      <c r="T24" s="19" t="str">
        <f t="shared" si="2"/>
        <v>X</v>
      </c>
    </row>
    <row r="25" spans="1:20" ht="27.75" customHeight="1">
      <c r="A25" s="17">
        <v>23</v>
      </c>
      <c r="B25" s="14" t="s">
        <v>17</v>
      </c>
      <c r="C25" s="13" t="s">
        <v>233</v>
      </c>
      <c r="D25" s="1" t="s">
        <v>24</v>
      </c>
      <c r="E25" s="7">
        <v>100000</v>
      </c>
      <c r="F25" s="6">
        <v>3</v>
      </c>
      <c r="G25" s="12">
        <f t="shared" si="0"/>
        <v>300000</v>
      </c>
      <c r="H25" s="87" t="s">
        <v>255</v>
      </c>
      <c r="I25" s="1" t="s">
        <v>279</v>
      </c>
      <c r="J25" s="2">
        <v>50505</v>
      </c>
      <c r="K25" s="3">
        <f>300000-91585-49449-41192-37800-50505</f>
        <v>29469</v>
      </c>
      <c r="L25" s="93" t="s">
        <v>348</v>
      </c>
      <c r="M25" s="31" t="s">
        <v>486</v>
      </c>
      <c r="N25" s="81" t="s">
        <v>335</v>
      </c>
      <c r="O25" s="19" t="s">
        <v>108</v>
      </c>
      <c r="P25" s="19" t="s">
        <v>248</v>
      </c>
      <c r="Q25" s="41">
        <v>79974</v>
      </c>
      <c r="R25" s="41">
        <v>48100</v>
      </c>
      <c r="S25" s="41">
        <f t="shared" si="1"/>
        <v>31874</v>
      </c>
      <c r="T25" s="19" t="str">
        <f t="shared" si="2"/>
        <v>X</v>
      </c>
    </row>
    <row r="26" spans="1:20" ht="27.75" customHeight="1">
      <c r="A26" s="17">
        <v>24</v>
      </c>
      <c r="B26" s="14" t="s">
        <v>17</v>
      </c>
      <c r="C26" s="13" t="s">
        <v>183</v>
      </c>
      <c r="D26" s="1" t="s">
        <v>16</v>
      </c>
      <c r="E26" s="7">
        <v>50000</v>
      </c>
      <c r="F26" s="6">
        <v>6</v>
      </c>
      <c r="G26" s="12">
        <f t="shared" si="0"/>
        <v>300000</v>
      </c>
      <c r="H26" s="1" t="s">
        <v>224</v>
      </c>
      <c r="I26" s="1" t="s">
        <v>225</v>
      </c>
      <c r="J26" s="2">
        <v>4865</v>
      </c>
      <c r="K26" s="3">
        <f>-6222+6222+300000-17616-11443-4599-4735-23895-15681-(-3024)-12367-4865</f>
        <v>207823</v>
      </c>
      <c r="M26" s="31" t="s">
        <v>486</v>
      </c>
      <c r="N26" s="20" t="s">
        <v>223</v>
      </c>
      <c r="O26" s="19" t="s">
        <v>113</v>
      </c>
      <c r="P26" s="19" t="s">
        <v>248</v>
      </c>
      <c r="Q26" s="41">
        <v>212688</v>
      </c>
      <c r="R26" s="41">
        <v>4634</v>
      </c>
      <c r="S26" s="41">
        <f t="shared" si="1"/>
        <v>208054</v>
      </c>
      <c r="T26" s="19" t="str">
        <f t="shared" si="2"/>
        <v>X</v>
      </c>
    </row>
    <row r="27" spans="1:20" ht="27.75" customHeight="1">
      <c r="A27" s="17">
        <v>25</v>
      </c>
      <c r="B27" s="30" t="s">
        <v>21</v>
      </c>
      <c r="C27" s="30" t="s">
        <v>234</v>
      </c>
      <c r="D27" s="1" t="s">
        <v>16</v>
      </c>
      <c r="E27" s="7">
        <v>50000</v>
      </c>
      <c r="F27" s="6">
        <v>6</v>
      </c>
      <c r="G27" s="12">
        <f t="shared" si="0"/>
        <v>300000</v>
      </c>
      <c r="H27" s="86" t="s">
        <v>70</v>
      </c>
      <c r="I27" s="86" t="s">
        <v>74</v>
      </c>
      <c r="J27" s="2">
        <v>7686</v>
      </c>
      <c r="K27" s="3">
        <f>5056+300000-50394-3494-5926+395-41815+542-5514-1050-18419-46691-6440-30655-8017-17203+1179+752-36814-19404-7261-11151+300000-2526-5941-23890+5433-62110-125276-(-1491)-10319-9330-31406-(-821)-714-1982-9788-14280-7686</f>
        <v>173</v>
      </c>
      <c r="M27" s="31" t="s">
        <v>491</v>
      </c>
      <c r="O27" s="19" t="s">
        <v>134</v>
      </c>
      <c r="P27" s="19" t="s">
        <v>247</v>
      </c>
      <c r="Q27" s="41">
        <v>7859</v>
      </c>
      <c r="R27" s="41">
        <v>7320</v>
      </c>
      <c r="S27" s="41">
        <f t="shared" si="1"/>
        <v>539</v>
      </c>
      <c r="T27" s="19" t="str">
        <f t="shared" si="2"/>
        <v>X</v>
      </c>
    </row>
    <row r="28" spans="1:20" ht="27.75" customHeight="1">
      <c r="A28" s="17">
        <v>26</v>
      </c>
      <c r="B28" s="14" t="s">
        <v>17</v>
      </c>
      <c r="C28" s="13" t="s">
        <v>184</v>
      </c>
      <c r="D28" s="1" t="s">
        <v>15</v>
      </c>
      <c r="E28" s="7">
        <v>100000</v>
      </c>
      <c r="F28" s="6">
        <v>6</v>
      </c>
      <c r="G28" s="12">
        <f t="shared" si="0"/>
        <v>600000</v>
      </c>
      <c r="H28" s="85" t="s">
        <v>292</v>
      </c>
      <c r="I28" s="85" t="s">
        <v>437</v>
      </c>
      <c r="J28" s="2">
        <v>126125</v>
      </c>
      <c r="K28" s="3">
        <f>300000-117740-126125</f>
        <v>56135</v>
      </c>
      <c r="L28" s="143" t="s">
        <v>458</v>
      </c>
      <c r="M28" s="31" t="s">
        <v>486</v>
      </c>
      <c r="N28" s="144" t="s">
        <v>459</v>
      </c>
      <c r="O28" s="19" t="s">
        <v>118</v>
      </c>
      <c r="P28" s="19" t="s">
        <v>248</v>
      </c>
      <c r="Q28" s="41">
        <v>182260</v>
      </c>
      <c r="R28" s="41">
        <v>126045</v>
      </c>
      <c r="S28" s="41">
        <f t="shared" si="1"/>
        <v>56215</v>
      </c>
      <c r="T28" s="19" t="str">
        <f t="shared" si="2"/>
        <v>X</v>
      </c>
    </row>
    <row r="29" spans="1:20" ht="27.75" customHeight="1">
      <c r="A29" s="17">
        <v>27</v>
      </c>
      <c r="B29" s="18" t="s">
        <v>44</v>
      </c>
      <c r="C29" s="8" t="s">
        <v>95</v>
      </c>
      <c r="D29" s="1" t="s">
        <v>16</v>
      </c>
      <c r="E29" s="7">
        <v>50000</v>
      </c>
      <c r="F29" s="6">
        <v>5</v>
      </c>
      <c r="G29" s="12">
        <f t="shared" si="0"/>
        <v>250000</v>
      </c>
      <c r="H29" s="1" t="s">
        <v>12</v>
      </c>
      <c r="I29" s="1" t="s">
        <v>6</v>
      </c>
      <c r="J29" s="2">
        <v>0</v>
      </c>
      <c r="K29" s="3">
        <v>0</v>
      </c>
      <c r="L29" s="94" t="s">
        <v>26</v>
      </c>
      <c r="M29" s="49" t="s">
        <v>75</v>
      </c>
      <c r="O29" s="19" t="s">
        <v>144</v>
      </c>
      <c r="P29" s="19" t="s">
        <v>248</v>
      </c>
      <c r="Q29" s="41">
        <v>0</v>
      </c>
      <c r="R29" s="41">
        <v>0</v>
      </c>
      <c r="S29" s="41">
        <f t="shared" si="1"/>
        <v>0</v>
      </c>
      <c r="T29" s="19" t="str">
        <f t="shared" si="2"/>
        <v>O</v>
      </c>
    </row>
    <row r="30" spans="1:20" ht="27.75" customHeight="1">
      <c r="A30" s="17">
        <v>28</v>
      </c>
      <c r="B30" s="16" t="s">
        <v>45</v>
      </c>
      <c r="C30" s="9" t="s">
        <v>235</v>
      </c>
      <c r="D30" s="1" t="s">
        <v>24</v>
      </c>
      <c r="E30" s="7">
        <v>100000</v>
      </c>
      <c r="F30" s="6">
        <v>3</v>
      </c>
      <c r="G30" s="12">
        <f t="shared" si="0"/>
        <v>300000</v>
      </c>
      <c r="H30" s="89" t="s">
        <v>36</v>
      </c>
      <c r="I30" s="89" t="s">
        <v>37</v>
      </c>
      <c r="J30" s="2">
        <v>0</v>
      </c>
      <c r="K30" s="3">
        <f>300000-27106-7984+744-10032-5400-19720-15831+7454-480-9070-1350-34914-15040-2224-12250-25032-24935-1076-9907-12600-16065-479-9210-28726+300000-66654-10173-10735+851-19920+41-8484-11510-147-20475-788+394-7088-1663-3528-11059-(-4200)-J30</f>
        <v>152029</v>
      </c>
      <c r="M30" s="49" t="s">
        <v>484</v>
      </c>
      <c r="N30" s="93" t="s">
        <v>359</v>
      </c>
      <c r="O30" s="19" t="s">
        <v>174</v>
      </c>
      <c r="P30" s="19" t="s">
        <v>248</v>
      </c>
      <c r="Q30" s="41">
        <v>152029</v>
      </c>
      <c r="R30" s="41">
        <v>0</v>
      </c>
      <c r="S30" s="41">
        <f t="shared" si="1"/>
        <v>152029</v>
      </c>
      <c r="T30" s="19" t="str">
        <f t="shared" si="2"/>
        <v>O</v>
      </c>
    </row>
    <row r="31" spans="1:20" ht="27.75" customHeight="1">
      <c r="A31" s="17">
        <v>29</v>
      </c>
      <c r="B31" s="14" t="s">
        <v>40</v>
      </c>
      <c r="C31" s="13" t="s">
        <v>236</v>
      </c>
      <c r="D31" s="1" t="s">
        <v>25</v>
      </c>
      <c r="E31" s="7">
        <v>50000</v>
      </c>
      <c r="F31" s="6">
        <v>6</v>
      </c>
      <c r="G31" s="12">
        <f t="shared" si="0"/>
        <v>300000</v>
      </c>
      <c r="H31" s="87" t="s">
        <v>224</v>
      </c>
      <c r="I31" s="1" t="s">
        <v>255</v>
      </c>
      <c r="J31" s="2">
        <v>72225</v>
      </c>
      <c r="K31" s="3">
        <f>300000-66540-83542+82-69228+69228-(-5909)-11324-2168-(-1287)-6613-52332-72225</f>
        <v>12534</v>
      </c>
      <c r="L31" s="93" t="s">
        <v>352</v>
      </c>
      <c r="M31" s="31" t="s">
        <v>486</v>
      </c>
      <c r="N31" s="46" t="s">
        <v>281</v>
      </c>
      <c r="O31" s="19" t="s">
        <v>109</v>
      </c>
      <c r="P31" s="19" t="s">
        <v>248</v>
      </c>
      <c r="Q31" s="41">
        <v>84759</v>
      </c>
      <c r="R31" s="41">
        <v>66384</v>
      </c>
      <c r="S31" s="41">
        <f t="shared" si="1"/>
        <v>18375</v>
      </c>
      <c r="T31" s="19" t="str">
        <f t="shared" si="2"/>
        <v>X</v>
      </c>
    </row>
    <row r="32" spans="1:20" ht="27.75" customHeight="1">
      <c r="A32" s="17">
        <v>30</v>
      </c>
      <c r="B32" s="14" t="s">
        <v>40</v>
      </c>
      <c r="C32" s="13" t="s">
        <v>185</v>
      </c>
      <c r="D32" s="1" t="s">
        <v>25</v>
      </c>
      <c r="E32" s="7">
        <v>50000</v>
      </c>
      <c r="F32" s="6">
        <v>6</v>
      </c>
      <c r="G32" s="12">
        <f t="shared" si="0"/>
        <v>300000</v>
      </c>
      <c r="H32" s="1" t="s">
        <v>224</v>
      </c>
      <c r="I32" s="1" t="s">
        <v>258</v>
      </c>
      <c r="J32" s="2">
        <v>-2030</v>
      </c>
      <c r="K32" s="3">
        <f>300000-18270-(-1691)-43065-(-6831)-2205-12285-23237-J32</f>
        <v>211490</v>
      </c>
      <c r="L32" s="93" t="s">
        <v>353</v>
      </c>
      <c r="M32" s="31"/>
      <c r="N32" s="19" t="s">
        <v>257</v>
      </c>
      <c r="O32" s="19" t="s">
        <v>165</v>
      </c>
      <c r="P32" s="19" t="s">
        <v>248</v>
      </c>
      <c r="Q32" s="41">
        <v>209460</v>
      </c>
      <c r="R32" s="41">
        <v>-2030</v>
      </c>
      <c r="S32" s="41">
        <f t="shared" si="1"/>
        <v>211490</v>
      </c>
      <c r="T32" s="19" t="str">
        <f t="shared" si="2"/>
        <v>O</v>
      </c>
    </row>
    <row r="33" spans="1:20" ht="27.75" customHeight="1">
      <c r="A33" s="17">
        <v>31</v>
      </c>
      <c r="B33" s="14" t="s">
        <v>40</v>
      </c>
      <c r="C33" s="13" t="s">
        <v>237</v>
      </c>
      <c r="D33" s="1" t="s">
        <v>25</v>
      </c>
      <c r="E33" s="7">
        <v>50000</v>
      </c>
      <c r="F33" s="6">
        <v>6</v>
      </c>
      <c r="G33" s="12">
        <f t="shared" si="0"/>
        <v>300000</v>
      </c>
      <c r="H33" s="1" t="s">
        <v>78</v>
      </c>
      <c r="I33" s="1" t="s">
        <v>79</v>
      </c>
      <c r="J33" s="2">
        <v>4373</v>
      </c>
      <c r="K33" s="3">
        <f>300000-1575-11493-24695-24228-2628-2836-(-474)-84-30496-706-9307-20185-4373</f>
        <v>167868</v>
      </c>
      <c r="M33" s="31" t="s">
        <v>494</v>
      </c>
      <c r="O33" s="19" t="s">
        <v>114</v>
      </c>
      <c r="P33" s="169" t="s">
        <v>503</v>
      </c>
      <c r="Q33" s="41">
        <v>172241</v>
      </c>
      <c r="R33" s="41">
        <v>4343</v>
      </c>
      <c r="S33" s="41">
        <f t="shared" si="1"/>
        <v>167898</v>
      </c>
      <c r="T33" s="19" t="str">
        <f t="shared" si="2"/>
        <v>X</v>
      </c>
    </row>
    <row r="34" spans="1:20" ht="27.75" customHeight="1">
      <c r="A34" s="17">
        <v>32</v>
      </c>
      <c r="B34" s="14" t="s">
        <v>40</v>
      </c>
      <c r="C34" s="13" t="s">
        <v>238</v>
      </c>
      <c r="D34" s="1" t="s">
        <v>24</v>
      </c>
      <c r="E34" s="7">
        <v>300000</v>
      </c>
      <c r="F34" s="6">
        <v>1</v>
      </c>
      <c r="G34" s="12">
        <f t="shared" si="0"/>
        <v>300000</v>
      </c>
      <c r="H34" s="127" t="s">
        <v>269</v>
      </c>
      <c r="I34" s="127" t="s">
        <v>300</v>
      </c>
      <c r="J34" s="2">
        <v>-4148</v>
      </c>
      <c r="K34" s="3">
        <f>300000-14112-19950-14213-(-2205)-110143-101388-(-68397)-66035-49812+5828-26796+300000-13064-(-4148)</f>
        <v>265065</v>
      </c>
      <c r="L34" s="128" t="s">
        <v>435</v>
      </c>
      <c r="M34" s="31" t="s">
        <v>494</v>
      </c>
      <c r="N34" s="130" t="s">
        <v>439</v>
      </c>
      <c r="O34" s="19" t="s">
        <v>110</v>
      </c>
      <c r="P34" s="19" t="s">
        <v>248</v>
      </c>
      <c r="Q34" s="41">
        <v>260917</v>
      </c>
      <c r="R34" s="41">
        <v>-4562</v>
      </c>
      <c r="S34" s="41">
        <f t="shared" si="1"/>
        <v>265479</v>
      </c>
      <c r="T34" s="19" t="str">
        <f t="shared" si="2"/>
        <v>X</v>
      </c>
    </row>
    <row r="35" spans="1:20" ht="27.75" customHeight="1">
      <c r="A35" s="17">
        <v>33</v>
      </c>
      <c r="B35" s="30" t="s">
        <v>21</v>
      </c>
      <c r="C35" s="25" t="s">
        <v>80</v>
      </c>
      <c r="D35" s="1" t="s">
        <v>25</v>
      </c>
      <c r="E35" s="7">
        <v>100000</v>
      </c>
      <c r="F35" s="6">
        <v>1</v>
      </c>
      <c r="G35" s="12">
        <f t="shared" si="0"/>
        <v>100000</v>
      </c>
      <c r="H35" s="86" t="s">
        <v>67</v>
      </c>
      <c r="I35" s="86" t="s">
        <v>71</v>
      </c>
      <c r="J35" s="2">
        <v>49140</v>
      </c>
      <c r="K35" s="3">
        <f>300000-7054+7054-1793+620-9782-10197-580-3455-540-292-20540-15330-5712-55692-49140</f>
        <v>127567</v>
      </c>
      <c r="M35" s="31" t="s">
        <v>486</v>
      </c>
      <c r="N35" s="20" t="s">
        <v>83</v>
      </c>
      <c r="O35" s="19" t="s">
        <v>167</v>
      </c>
      <c r="P35" s="19" t="s">
        <v>248</v>
      </c>
      <c r="Q35" s="41">
        <v>176707</v>
      </c>
      <c r="R35" s="41">
        <v>46920</v>
      </c>
      <c r="S35" s="41">
        <f t="shared" si="1"/>
        <v>129787</v>
      </c>
      <c r="T35" s="19" t="str">
        <f t="shared" si="2"/>
        <v>X</v>
      </c>
    </row>
    <row r="36" spans="1:20" ht="27.75" customHeight="1">
      <c r="A36" s="17">
        <v>34</v>
      </c>
      <c r="B36" s="18" t="s">
        <v>44</v>
      </c>
      <c r="C36" s="8" t="s">
        <v>239</v>
      </c>
      <c r="D36" s="1" t="s">
        <v>24</v>
      </c>
      <c r="E36" s="7">
        <v>100000</v>
      </c>
      <c r="F36" s="6">
        <v>3</v>
      </c>
      <c r="G36" s="12">
        <f t="shared" si="0"/>
        <v>300000</v>
      </c>
      <c r="H36" s="87" t="s">
        <v>382</v>
      </c>
      <c r="I36" s="1" t="s">
        <v>383</v>
      </c>
      <c r="J36" s="2">
        <v>127051</v>
      </c>
      <c r="K36" s="3">
        <f>300000-85279-24730-25229-127051</f>
        <v>37711</v>
      </c>
      <c r="M36" s="31" t="s">
        <v>494</v>
      </c>
      <c r="N36" s="102" t="s">
        <v>376</v>
      </c>
      <c r="O36" s="19" t="s">
        <v>123</v>
      </c>
      <c r="P36" s="19" t="s">
        <v>248</v>
      </c>
      <c r="Q36" s="41">
        <v>164762</v>
      </c>
      <c r="R36" s="41">
        <v>246365</v>
      </c>
      <c r="S36" s="41">
        <f t="shared" si="1"/>
        <v>-81603</v>
      </c>
      <c r="T36" s="19" t="str">
        <f t="shared" si="2"/>
        <v>X</v>
      </c>
    </row>
    <row r="37" spans="1:20" ht="27.75" customHeight="1">
      <c r="A37" s="17">
        <v>35</v>
      </c>
      <c r="B37" s="14" t="s">
        <v>40</v>
      </c>
      <c r="C37" s="13" t="s">
        <v>193</v>
      </c>
      <c r="D37" s="1" t="s">
        <v>25</v>
      </c>
      <c r="E37" s="7">
        <v>50000</v>
      </c>
      <c r="F37" s="6">
        <v>6</v>
      </c>
      <c r="G37" s="12">
        <f t="shared" si="0"/>
        <v>300000</v>
      </c>
      <c r="H37" s="131" t="s">
        <v>300</v>
      </c>
      <c r="I37" s="127" t="s">
        <v>454</v>
      </c>
      <c r="J37" s="2">
        <v>6300</v>
      </c>
      <c r="K37" s="3">
        <f>300000-J37</f>
        <v>293700</v>
      </c>
      <c r="L37" s="137" t="s">
        <v>447</v>
      </c>
      <c r="M37" s="31"/>
      <c r="N37" s="153" t="s">
        <v>446</v>
      </c>
      <c r="O37" s="19" t="s">
        <v>186</v>
      </c>
      <c r="P37" s="19" t="s">
        <v>247</v>
      </c>
      <c r="Q37" s="41">
        <v>0</v>
      </c>
      <c r="R37" s="41">
        <v>6300</v>
      </c>
      <c r="S37" s="41">
        <f t="shared" si="1"/>
        <v>-6300</v>
      </c>
      <c r="T37" s="19" t="str">
        <f t="shared" si="2"/>
        <v>X</v>
      </c>
    </row>
    <row r="38" spans="1:20" ht="27.75" customHeight="1">
      <c r="A38" s="17">
        <v>36</v>
      </c>
      <c r="B38" s="30" t="s">
        <v>21</v>
      </c>
      <c r="C38" s="25" t="s">
        <v>240</v>
      </c>
      <c r="D38" s="1" t="s">
        <v>25</v>
      </c>
      <c r="E38" s="7">
        <v>50000</v>
      </c>
      <c r="F38" s="6">
        <v>6</v>
      </c>
      <c r="G38" s="12">
        <f t="shared" si="0"/>
        <v>300000</v>
      </c>
      <c r="H38" s="92" t="s">
        <v>66</v>
      </c>
      <c r="I38" s="86" t="s">
        <v>77</v>
      </c>
      <c r="J38" s="2">
        <v>0</v>
      </c>
      <c r="K38" s="3">
        <f>300000-42601-26251-5663+1760-3512-5670-0-16905-J38</f>
        <v>201158</v>
      </c>
      <c r="M38" s="49" t="s">
        <v>484</v>
      </c>
      <c r="N38" s="146" t="s">
        <v>461</v>
      </c>
      <c r="O38" s="19" t="s">
        <v>111</v>
      </c>
      <c r="P38" s="19" t="s">
        <v>248</v>
      </c>
      <c r="Q38" s="41">
        <v>201158</v>
      </c>
      <c r="R38" s="41">
        <v>0</v>
      </c>
      <c r="S38" s="41">
        <f t="shared" si="1"/>
        <v>201158</v>
      </c>
      <c r="T38" s="19" t="str">
        <f t="shared" si="2"/>
        <v>O</v>
      </c>
    </row>
    <row r="39" spans="1:20" ht="27.75" customHeight="1">
      <c r="A39" s="17">
        <v>37</v>
      </c>
      <c r="B39" s="14" t="s">
        <v>17</v>
      </c>
      <c r="C39" s="13" t="s">
        <v>43</v>
      </c>
      <c r="D39" s="1" t="s">
        <v>24</v>
      </c>
      <c r="E39" s="7">
        <v>100000</v>
      </c>
      <c r="F39" s="6">
        <v>3</v>
      </c>
      <c r="G39" s="12">
        <f t="shared" si="0"/>
        <v>300000</v>
      </c>
      <c r="H39" s="87" t="s">
        <v>255</v>
      </c>
      <c r="I39" s="1" t="s">
        <v>279</v>
      </c>
      <c r="J39" s="2">
        <v>22981</v>
      </c>
      <c r="K39" s="3">
        <f>24327-35349+311022-2940-18543-(-261)-22981</f>
        <v>255797</v>
      </c>
      <c r="L39" s="93" t="s">
        <v>354</v>
      </c>
      <c r="M39" s="31" t="s">
        <v>487</v>
      </c>
      <c r="N39" s="19" t="s">
        <v>212</v>
      </c>
      <c r="O39" s="19" t="s">
        <v>112</v>
      </c>
      <c r="P39" s="19" t="s">
        <v>248</v>
      </c>
      <c r="Q39" s="41">
        <v>278778</v>
      </c>
      <c r="R39" s="41">
        <v>19912</v>
      </c>
      <c r="S39" s="41">
        <f t="shared" si="1"/>
        <v>258866</v>
      </c>
      <c r="T39" s="19" t="str">
        <f t="shared" si="2"/>
        <v>X</v>
      </c>
    </row>
    <row r="40" spans="1:20" ht="27.75" customHeight="1">
      <c r="A40" s="17">
        <v>38</v>
      </c>
      <c r="B40" s="18" t="s">
        <v>93</v>
      </c>
      <c r="C40" s="8" t="s">
        <v>59</v>
      </c>
      <c r="D40" s="1" t="s">
        <v>60</v>
      </c>
      <c r="E40" s="7">
        <v>30000</v>
      </c>
      <c r="F40" s="6">
        <v>3</v>
      </c>
      <c r="G40" s="12">
        <f t="shared" si="0"/>
        <v>90000</v>
      </c>
      <c r="H40" s="90" t="s">
        <v>49</v>
      </c>
      <c r="I40" s="90" t="s">
        <v>58</v>
      </c>
      <c r="J40" s="2">
        <v>11474</v>
      </c>
      <c r="K40" s="3">
        <f>90000-16298-1806-7088+1418-15750-(-1796)-4709-9881-4662-88-7820-18257-(-1117)-(-40)-5513-11474+8975</f>
        <v>0</v>
      </c>
      <c r="L40" s="94" t="s">
        <v>26</v>
      </c>
      <c r="M40" s="31" t="s">
        <v>491</v>
      </c>
      <c r="N40" s="93" t="s">
        <v>361</v>
      </c>
      <c r="O40" s="19" t="s">
        <v>133</v>
      </c>
      <c r="P40" s="19" t="s">
        <v>247</v>
      </c>
      <c r="Q40" s="41">
        <v>2499</v>
      </c>
      <c r="R40" s="41">
        <v>10928</v>
      </c>
      <c r="S40" s="41">
        <f t="shared" si="1"/>
        <v>-8429</v>
      </c>
      <c r="T40" s="19" t="str">
        <f t="shared" si="2"/>
        <v>X</v>
      </c>
    </row>
    <row r="41" spans="1:20" ht="27.75" customHeight="1">
      <c r="A41" s="17">
        <v>39</v>
      </c>
      <c r="B41" s="18" t="s">
        <v>93</v>
      </c>
      <c r="C41" s="8" t="s">
        <v>41</v>
      </c>
      <c r="D41" s="1" t="s">
        <v>24</v>
      </c>
      <c r="E41" s="7">
        <v>100000</v>
      </c>
      <c r="F41" s="6">
        <v>3</v>
      </c>
      <c r="G41" s="12">
        <v>300000</v>
      </c>
      <c r="H41" s="87" t="s">
        <v>200</v>
      </c>
      <c r="I41" s="87" t="s">
        <v>200</v>
      </c>
      <c r="J41" s="2">
        <v>-1519</v>
      </c>
      <c r="K41" s="3">
        <f>0-38834+39200-(-2260)-50705+48079-5943-J41</f>
        <v>-4424</v>
      </c>
      <c r="L41" s="94" t="s">
        <v>26</v>
      </c>
      <c r="M41" s="31"/>
      <c r="N41" s="19" t="s">
        <v>197</v>
      </c>
      <c r="O41" s="19" t="s">
        <v>125</v>
      </c>
      <c r="P41" s="19" t="s">
        <v>246</v>
      </c>
      <c r="Q41" s="41">
        <v>-5943</v>
      </c>
      <c r="R41" s="41">
        <v>-1519</v>
      </c>
      <c r="S41" s="41">
        <f t="shared" si="1"/>
        <v>-4424</v>
      </c>
      <c r="T41" s="19" t="str">
        <f t="shared" si="2"/>
        <v>O</v>
      </c>
    </row>
    <row r="42" spans="1:20" ht="27.75" customHeight="1">
      <c r="A42" s="17">
        <v>40</v>
      </c>
      <c r="B42" s="14" t="s">
        <v>17</v>
      </c>
      <c r="C42" s="13" t="s">
        <v>98</v>
      </c>
      <c r="D42" s="1" t="s">
        <v>25</v>
      </c>
      <c r="E42" s="7">
        <v>50000</v>
      </c>
      <c r="F42" s="6">
        <v>6</v>
      </c>
      <c r="G42" s="12">
        <f t="shared" si="0"/>
        <v>300000</v>
      </c>
      <c r="H42" s="1" t="s">
        <v>202</v>
      </c>
      <c r="I42" s="1" t="s">
        <v>300</v>
      </c>
      <c r="J42" s="2">
        <v>11078</v>
      </c>
      <c r="K42" s="3">
        <f>42670+309800-102470-54520+4520-45003-122269+71544-4272-4410-11078</f>
        <v>84512</v>
      </c>
      <c r="L42" s="59" t="s">
        <v>301</v>
      </c>
      <c r="M42" s="31" t="s">
        <v>491</v>
      </c>
      <c r="N42" s="61" t="s">
        <v>304</v>
      </c>
      <c r="O42" s="19" t="s">
        <v>139</v>
      </c>
      <c r="P42" s="169" t="s">
        <v>502</v>
      </c>
      <c r="Q42" s="41">
        <v>95590</v>
      </c>
      <c r="R42" s="41">
        <v>42190</v>
      </c>
      <c r="S42" s="41">
        <f t="shared" si="1"/>
        <v>53400</v>
      </c>
      <c r="T42" s="19" t="str">
        <f t="shared" si="2"/>
        <v>X</v>
      </c>
    </row>
    <row r="43" spans="1:20" ht="27.75" customHeight="1">
      <c r="A43" s="17">
        <v>41</v>
      </c>
      <c r="B43" s="14" t="s">
        <v>40</v>
      </c>
      <c r="C43" s="13" t="s">
        <v>241</v>
      </c>
      <c r="D43" s="1" t="s">
        <v>25</v>
      </c>
      <c r="E43" s="7">
        <v>50000</v>
      </c>
      <c r="F43" s="6">
        <v>6</v>
      </c>
      <c r="G43" s="12">
        <f t="shared" si="0"/>
        <v>300000</v>
      </c>
      <c r="H43" s="1" t="s">
        <v>138</v>
      </c>
      <c r="I43" s="1" t="s">
        <v>279</v>
      </c>
      <c r="J43" s="2">
        <v>5273</v>
      </c>
      <c r="K43" s="3">
        <f>300000-29215-14931-13608-(-2132)-12474-13684-5273</f>
        <v>212947</v>
      </c>
      <c r="L43" s="93" t="s">
        <v>355</v>
      </c>
      <c r="M43" s="31" t="s">
        <v>491</v>
      </c>
      <c r="N43" s="45" t="s">
        <v>280</v>
      </c>
      <c r="O43" s="19" t="s">
        <v>128</v>
      </c>
      <c r="P43" s="19" t="s">
        <v>247</v>
      </c>
      <c r="Q43" s="41">
        <v>218220</v>
      </c>
      <c r="R43" s="41">
        <v>5742</v>
      </c>
      <c r="S43" s="41">
        <f t="shared" si="1"/>
        <v>212478</v>
      </c>
      <c r="T43" s="19" t="str">
        <f t="shared" si="2"/>
        <v>X</v>
      </c>
    </row>
    <row r="44" spans="1:20" ht="27.75" customHeight="1">
      <c r="A44" s="17">
        <v>42</v>
      </c>
      <c r="B44" s="14" t="s">
        <v>40</v>
      </c>
      <c r="C44" s="13" t="s">
        <v>242</v>
      </c>
      <c r="D44" s="1" t="s">
        <v>16</v>
      </c>
      <c r="E44" s="7">
        <v>50000</v>
      </c>
      <c r="F44" s="6">
        <v>6</v>
      </c>
      <c r="G44" s="12">
        <f t="shared" si="0"/>
        <v>300000</v>
      </c>
      <c r="H44" s="1" t="s">
        <v>218</v>
      </c>
      <c r="I44" s="91" t="s">
        <v>300</v>
      </c>
      <c r="J44" s="2">
        <v>-1409</v>
      </c>
      <c r="K44" s="3">
        <f>17792+300000-24147-114611+20966-(-7909)-90048-13031-(-1409)</f>
        <v>106239</v>
      </c>
      <c r="L44" s="93" t="s">
        <v>347</v>
      </c>
      <c r="M44" s="31" t="s">
        <v>491</v>
      </c>
      <c r="N44" s="52" t="s">
        <v>295</v>
      </c>
      <c r="O44" s="19" t="s">
        <v>129</v>
      </c>
      <c r="P44" s="19" t="s">
        <v>247</v>
      </c>
      <c r="Q44" s="41">
        <v>104830</v>
      </c>
      <c r="R44" s="41">
        <v>27492</v>
      </c>
      <c r="S44" s="41">
        <f t="shared" si="1"/>
        <v>77338</v>
      </c>
      <c r="T44" s="19" t="str">
        <f t="shared" si="2"/>
        <v>X</v>
      </c>
    </row>
    <row r="45" spans="1:20" ht="27.75" customHeight="1">
      <c r="A45" s="17">
        <v>43</v>
      </c>
      <c r="B45" s="14" t="s">
        <v>17</v>
      </c>
      <c r="C45" s="13" t="s">
        <v>89</v>
      </c>
      <c r="D45" s="1" t="s">
        <v>24</v>
      </c>
      <c r="E45" s="7">
        <v>100000</v>
      </c>
      <c r="F45" s="6">
        <v>3</v>
      </c>
      <c r="G45" s="12">
        <f t="shared" si="0"/>
        <v>300000</v>
      </c>
      <c r="H45" s="1" t="s">
        <v>138</v>
      </c>
      <c r="I45" s="91" t="s">
        <v>218</v>
      </c>
      <c r="J45" s="2">
        <v>18715</v>
      </c>
      <c r="K45" s="3">
        <f>300000-30131-12413-70480-68455-56711-4628-61530+4340+8-33706+300000-32576-32389-13701-6897-34767-18715</f>
        <v>127249</v>
      </c>
      <c r="L45" s="44" t="s">
        <v>276</v>
      </c>
      <c r="M45" s="31" t="s">
        <v>487</v>
      </c>
      <c r="N45" s="44" t="s">
        <v>277</v>
      </c>
      <c r="O45" s="19" t="s">
        <v>145</v>
      </c>
      <c r="P45" s="19" t="s">
        <v>248</v>
      </c>
      <c r="Q45" s="41">
        <v>145964</v>
      </c>
      <c r="R45" s="41">
        <v>18918</v>
      </c>
      <c r="S45" s="41">
        <f t="shared" si="1"/>
        <v>127046</v>
      </c>
      <c r="T45" s="19" t="str">
        <f t="shared" si="2"/>
        <v>X</v>
      </c>
    </row>
    <row r="46" spans="1:20" ht="27.75" customHeight="1">
      <c r="A46" s="17">
        <v>44</v>
      </c>
      <c r="B46" s="14" t="s">
        <v>17</v>
      </c>
      <c r="C46" s="13" t="s">
        <v>228</v>
      </c>
      <c r="D46" s="1" t="s">
        <v>24</v>
      </c>
      <c r="E46" s="7">
        <v>100000</v>
      </c>
      <c r="F46" s="6">
        <v>3</v>
      </c>
      <c r="G46" s="12">
        <f t="shared" si="0"/>
        <v>300000</v>
      </c>
      <c r="H46" s="87" t="s">
        <v>255</v>
      </c>
      <c r="I46" s="1" t="s">
        <v>292</v>
      </c>
      <c r="J46" s="2">
        <v>-6697</v>
      </c>
      <c r="K46" s="3">
        <f>7504+338800-146304-44578-5823-31387-(-6697)</f>
        <v>124909</v>
      </c>
      <c r="L46" s="93" t="s">
        <v>356</v>
      </c>
      <c r="M46" s="31" t="s">
        <v>487</v>
      </c>
      <c r="N46" s="75" t="s">
        <v>326</v>
      </c>
      <c r="O46" s="19" t="s">
        <v>116</v>
      </c>
      <c r="P46" s="169" t="s">
        <v>504</v>
      </c>
      <c r="Q46" s="41">
        <v>118212</v>
      </c>
      <c r="R46" s="41">
        <v>-6378</v>
      </c>
      <c r="S46" s="41">
        <f t="shared" si="1"/>
        <v>124590</v>
      </c>
      <c r="T46" s="19" t="str">
        <f t="shared" si="2"/>
        <v>X</v>
      </c>
    </row>
    <row r="47" spans="1:20" ht="27.75" customHeight="1">
      <c r="A47" s="17">
        <v>45</v>
      </c>
      <c r="B47" s="14" t="s">
        <v>40</v>
      </c>
      <c r="C47" s="13" t="s">
        <v>54</v>
      </c>
      <c r="D47" s="1" t="s">
        <v>25</v>
      </c>
      <c r="E47" s="7">
        <v>50000</v>
      </c>
      <c r="F47" s="6">
        <v>6</v>
      </c>
      <c r="G47" s="12">
        <f t="shared" si="0"/>
        <v>300000</v>
      </c>
      <c r="H47" s="1" t="s">
        <v>202</v>
      </c>
      <c r="I47" s="91" t="s">
        <v>300</v>
      </c>
      <c r="J47" s="2">
        <v>37227</v>
      </c>
      <c r="K47" s="3">
        <f>300000-55884+5884-25011-30020-7310-67773-37227</f>
        <v>82659</v>
      </c>
      <c r="L47" s="47" t="s">
        <v>284</v>
      </c>
      <c r="M47" s="31" t="s">
        <v>491</v>
      </c>
      <c r="N47" s="47" t="s">
        <v>285</v>
      </c>
      <c r="O47" s="19" t="s">
        <v>130</v>
      </c>
      <c r="P47" s="19" t="s">
        <v>247</v>
      </c>
      <c r="Q47" s="41">
        <v>119886</v>
      </c>
      <c r="R47" s="41">
        <v>50559</v>
      </c>
      <c r="S47" s="41">
        <f t="shared" si="1"/>
        <v>69327</v>
      </c>
      <c r="T47" s="19" t="str">
        <f t="shared" si="2"/>
        <v>X</v>
      </c>
    </row>
    <row r="48" spans="1:20" ht="27.75" customHeight="1">
      <c r="A48" s="17">
        <v>45</v>
      </c>
      <c r="B48" s="138" t="s">
        <v>30</v>
      </c>
      <c r="C48" s="139" t="s">
        <v>449</v>
      </c>
      <c r="D48" s="1" t="s">
        <v>25</v>
      </c>
      <c r="E48" s="7">
        <v>30000</v>
      </c>
      <c r="F48" s="6">
        <v>3</v>
      </c>
      <c r="G48" s="12">
        <f t="shared" si="0"/>
        <v>90000</v>
      </c>
      <c r="H48" s="141" t="s">
        <v>279</v>
      </c>
      <c r="I48" s="142" t="s">
        <v>300</v>
      </c>
      <c r="J48" s="2">
        <v>21242</v>
      </c>
      <c r="K48" s="3">
        <f>120328-60328-1950-21242</f>
        <v>36808</v>
      </c>
      <c r="L48" s="140" t="s">
        <v>450</v>
      </c>
      <c r="M48" s="31" t="s">
        <v>487</v>
      </c>
      <c r="N48" s="140" t="s">
        <v>451</v>
      </c>
      <c r="O48" s="147" t="s">
        <v>462</v>
      </c>
      <c r="P48" s="19" t="s">
        <v>247</v>
      </c>
      <c r="Q48" s="41">
        <v>58050</v>
      </c>
      <c r="R48" s="41">
        <v>20230</v>
      </c>
      <c r="S48" s="41">
        <f t="shared" si="1"/>
        <v>37820</v>
      </c>
      <c r="T48" s="19" t="str">
        <f t="shared" si="2"/>
        <v>X</v>
      </c>
    </row>
    <row r="49" spans="1:20" ht="27.75" customHeight="1">
      <c r="A49" s="17">
        <v>46</v>
      </c>
      <c r="B49" s="30" t="s">
        <v>21</v>
      </c>
      <c r="C49" s="25" t="s">
        <v>48</v>
      </c>
      <c r="D49" s="1" t="s">
        <v>25</v>
      </c>
      <c r="E49" s="7">
        <v>100000</v>
      </c>
      <c r="F49" s="6">
        <v>1</v>
      </c>
      <c r="G49" s="12">
        <f t="shared" si="0"/>
        <v>100000</v>
      </c>
      <c r="H49" s="86" t="s">
        <v>140</v>
      </c>
      <c r="I49" s="96" t="s">
        <v>90</v>
      </c>
      <c r="J49" s="2">
        <v>3000</v>
      </c>
      <c r="K49" s="3">
        <f>11922-97770+300000+3839-(-1302)-(-63)-5775-2068-21000-5204-2982-3331-987-(-118)-6059-J49</f>
        <v>169068</v>
      </c>
      <c r="M49" s="31"/>
      <c r="N49" s="19" t="s">
        <v>141</v>
      </c>
      <c r="O49" s="19" t="s">
        <v>142</v>
      </c>
      <c r="P49" s="169" t="s">
        <v>504</v>
      </c>
      <c r="Q49" s="41">
        <v>172068</v>
      </c>
      <c r="R49" s="41">
        <v>3000</v>
      </c>
      <c r="S49" s="41">
        <f t="shared" si="1"/>
        <v>169068</v>
      </c>
      <c r="T49" s="19" t="str">
        <f t="shared" si="2"/>
        <v>O</v>
      </c>
    </row>
    <row r="50" spans="1:20" ht="27.75" customHeight="1">
      <c r="A50" s="17">
        <v>47</v>
      </c>
      <c r="B50" s="14" t="s">
        <v>17</v>
      </c>
      <c r="C50" s="13" t="s">
        <v>53</v>
      </c>
      <c r="D50" s="1" t="s">
        <v>25</v>
      </c>
      <c r="E50" s="7">
        <v>30000</v>
      </c>
      <c r="F50" s="6">
        <v>3</v>
      </c>
      <c r="G50" s="12">
        <f t="shared" si="0"/>
        <v>90000</v>
      </c>
      <c r="H50" s="87" t="s">
        <v>88</v>
      </c>
      <c r="I50" s="1" t="s">
        <v>202</v>
      </c>
      <c r="J50" s="2">
        <v>9143</v>
      </c>
      <c r="K50" s="3">
        <f>18100+300000-59068-22470-(-4620)-41839-55199-4431-(-1149)-5922-9143</f>
        <v>125797</v>
      </c>
      <c r="L50" s="19" t="s">
        <v>265</v>
      </c>
      <c r="M50" s="31" t="s">
        <v>491</v>
      </c>
      <c r="N50" s="19" t="s">
        <v>266</v>
      </c>
      <c r="O50" s="19" t="s">
        <v>158</v>
      </c>
      <c r="P50" s="19" t="s">
        <v>247</v>
      </c>
      <c r="Q50" s="41">
        <v>134940</v>
      </c>
      <c r="R50" s="41">
        <v>14708</v>
      </c>
      <c r="S50" s="41">
        <f t="shared" si="1"/>
        <v>120232</v>
      </c>
      <c r="T50" s="19" t="str">
        <f t="shared" si="2"/>
        <v>X</v>
      </c>
    </row>
    <row r="51" spans="1:20" ht="27.75" customHeight="1">
      <c r="A51" s="17">
        <v>48</v>
      </c>
      <c r="B51" s="14" t="s">
        <v>40</v>
      </c>
      <c r="C51" s="13" t="s">
        <v>207</v>
      </c>
      <c r="D51" s="1" t="s">
        <v>24</v>
      </c>
      <c r="E51" s="7">
        <v>100000</v>
      </c>
      <c r="F51" s="6">
        <v>3</v>
      </c>
      <c r="G51" s="12">
        <f t="shared" si="0"/>
        <v>300000</v>
      </c>
      <c r="H51" s="131" t="s">
        <v>279</v>
      </c>
      <c r="I51" s="131" t="s">
        <v>300</v>
      </c>
      <c r="J51" s="2">
        <v>15361</v>
      </c>
      <c r="K51" s="3">
        <f>300000-59527-9912-7192-22294-25902-23719-19560-2678-5928-7835-2663-20118-22750-5946-1358-5427-21597-15939-225462+205807+200000-(-6042)-15361</f>
        <v>190681</v>
      </c>
      <c r="L51" s="128" t="s">
        <v>440</v>
      </c>
      <c r="M51" s="31" t="s">
        <v>486</v>
      </c>
      <c r="N51" s="129" t="s">
        <v>441</v>
      </c>
      <c r="O51" s="19" t="s">
        <v>117</v>
      </c>
      <c r="P51" s="169" t="s">
        <v>502</v>
      </c>
      <c r="Q51" s="41">
        <v>206042</v>
      </c>
      <c r="R51" s="41">
        <v>14630</v>
      </c>
      <c r="S51" s="41">
        <f t="shared" si="1"/>
        <v>191412</v>
      </c>
      <c r="T51" s="19" t="str">
        <f t="shared" si="2"/>
        <v>X</v>
      </c>
    </row>
    <row r="52" spans="1:20" ht="27.75" customHeight="1">
      <c r="A52" s="17">
        <v>49</v>
      </c>
      <c r="B52" s="18" t="s">
        <v>93</v>
      </c>
      <c r="C52" s="8" t="s">
        <v>42</v>
      </c>
      <c r="D52" s="1" t="s">
        <v>24</v>
      </c>
      <c r="E52" s="7">
        <v>100000</v>
      </c>
      <c r="F52" s="6">
        <v>3</v>
      </c>
      <c r="G52" s="12">
        <f t="shared" si="0"/>
        <v>300000</v>
      </c>
      <c r="H52" s="158" t="s">
        <v>300</v>
      </c>
      <c r="I52" s="158" t="s">
        <v>454</v>
      </c>
      <c r="J52" s="2">
        <v>21851</v>
      </c>
      <c r="K52" s="3">
        <f>9547+50000*6-21851</f>
        <v>287696</v>
      </c>
      <c r="L52" s="162" t="s">
        <v>493</v>
      </c>
      <c r="M52" s="31" t="s">
        <v>491</v>
      </c>
      <c r="N52" s="161" t="s">
        <v>492</v>
      </c>
      <c r="O52" s="19" t="s">
        <v>159</v>
      </c>
      <c r="P52" s="19" t="s">
        <v>247</v>
      </c>
      <c r="Q52" s="41">
        <v>9547</v>
      </c>
      <c r="R52" s="41">
        <v>20810</v>
      </c>
      <c r="S52" s="41">
        <f t="shared" si="1"/>
        <v>-11263</v>
      </c>
      <c r="T52" s="19" t="str">
        <f t="shared" si="2"/>
        <v>X</v>
      </c>
    </row>
    <row r="53" spans="1:20" ht="27.75" customHeight="1">
      <c r="A53" s="17">
        <v>50</v>
      </c>
      <c r="B53" s="14" t="s">
        <v>17</v>
      </c>
      <c r="C53" s="13" t="s">
        <v>81</v>
      </c>
      <c r="D53" s="1" t="s">
        <v>24</v>
      </c>
      <c r="E53" s="7">
        <v>100000</v>
      </c>
      <c r="F53" s="6">
        <v>3</v>
      </c>
      <c r="G53" s="12">
        <f t="shared" si="0"/>
        <v>300000</v>
      </c>
      <c r="H53" s="127" t="s">
        <v>33</v>
      </c>
      <c r="I53" s="127" t="s">
        <v>35</v>
      </c>
      <c r="J53" s="2">
        <v>10332</v>
      </c>
      <c r="K53" s="3">
        <f>2943+300000-16905-10332</f>
        <v>275706</v>
      </c>
      <c r="L53" s="148" t="s">
        <v>469</v>
      </c>
      <c r="M53" s="31" t="s">
        <v>487</v>
      </c>
      <c r="N53" s="149" t="s">
        <v>470</v>
      </c>
      <c r="O53" s="19" t="s">
        <v>160</v>
      </c>
      <c r="P53" s="19" t="s">
        <v>247</v>
      </c>
      <c r="Q53" s="41">
        <v>286038</v>
      </c>
      <c r="R53" s="41">
        <v>10230</v>
      </c>
      <c r="S53" s="41">
        <f t="shared" si="1"/>
        <v>275808</v>
      </c>
      <c r="T53" s="19" t="str">
        <f t="shared" si="2"/>
        <v>X</v>
      </c>
    </row>
    <row r="54" spans="1:20" ht="27.75" customHeight="1">
      <c r="A54" s="17">
        <v>51</v>
      </c>
      <c r="B54" s="14" t="s">
        <v>40</v>
      </c>
      <c r="C54" s="13" t="s">
        <v>61</v>
      </c>
      <c r="D54" s="1" t="s">
        <v>25</v>
      </c>
      <c r="E54" s="7">
        <v>50000</v>
      </c>
      <c r="F54" s="6">
        <v>6</v>
      </c>
      <c r="G54" s="12">
        <f t="shared" si="0"/>
        <v>300000</v>
      </c>
      <c r="H54" s="1" t="s">
        <v>74</v>
      </c>
      <c r="I54" s="1" t="s">
        <v>218</v>
      </c>
      <c r="J54" s="2">
        <v>0</v>
      </c>
      <c r="K54" s="3">
        <f>6424-4347-578-4599+3100+26230+300000-76230-(-3696)-8043-45507-41375-(-840)-7207-J54</f>
        <v>152404</v>
      </c>
      <c r="M54" s="49" t="s">
        <v>484</v>
      </c>
      <c r="N54" s="19" t="s">
        <v>219</v>
      </c>
      <c r="O54" s="19" t="s">
        <v>187</v>
      </c>
      <c r="P54" s="169" t="s">
        <v>503</v>
      </c>
      <c r="Q54" s="41">
        <v>152404</v>
      </c>
      <c r="R54" s="41">
        <v>0</v>
      </c>
      <c r="S54" s="41">
        <f t="shared" si="1"/>
        <v>152404</v>
      </c>
      <c r="T54" s="19" t="str">
        <f t="shared" si="2"/>
        <v>O</v>
      </c>
    </row>
    <row r="55" spans="1:20" ht="27.75" customHeight="1">
      <c r="A55" s="17">
        <v>52</v>
      </c>
      <c r="B55" s="14" t="s">
        <v>40</v>
      </c>
      <c r="C55" s="13" t="s">
        <v>47</v>
      </c>
      <c r="D55" s="1" t="s">
        <v>24</v>
      </c>
      <c r="E55" s="7">
        <v>100000</v>
      </c>
      <c r="F55" s="6">
        <v>3</v>
      </c>
      <c r="G55" s="12">
        <f t="shared" si="0"/>
        <v>300000</v>
      </c>
      <c r="H55" s="1" t="s">
        <v>224</v>
      </c>
      <c r="I55" s="1" t="s">
        <v>138</v>
      </c>
      <c r="J55" s="2">
        <v>36470</v>
      </c>
      <c r="K55" s="3">
        <f>18120+143693-161813+300000-(-8841)-(-305)-17566-5534-135160+134988-0-26131-71339-(-2436)-J55</f>
        <v>154370</v>
      </c>
      <c r="M55" s="31"/>
      <c r="N55" s="19" t="s">
        <v>210</v>
      </c>
      <c r="O55" s="19" t="s">
        <v>131</v>
      </c>
      <c r="P55" s="19" t="s">
        <v>247</v>
      </c>
      <c r="Q55" s="41">
        <v>190840</v>
      </c>
      <c r="R55" s="41">
        <v>36470</v>
      </c>
      <c r="S55" s="41">
        <f t="shared" si="1"/>
        <v>154370</v>
      </c>
      <c r="T55" s="19" t="str">
        <f t="shared" si="2"/>
        <v>O</v>
      </c>
    </row>
    <row r="56" spans="1:20" ht="27.75" customHeight="1">
      <c r="A56" s="17">
        <v>53</v>
      </c>
      <c r="B56" s="14" t="s">
        <v>17</v>
      </c>
      <c r="C56" s="13" t="s">
        <v>243</v>
      </c>
      <c r="D56" s="1" t="s">
        <v>25</v>
      </c>
      <c r="E56" s="7">
        <v>50000</v>
      </c>
      <c r="F56" s="6">
        <v>12</v>
      </c>
      <c r="G56" s="12">
        <f t="shared" si="0"/>
        <v>600000</v>
      </c>
      <c r="H56" s="85" t="s">
        <v>300</v>
      </c>
      <c r="I56" s="85" t="s">
        <v>454</v>
      </c>
      <c r="J56" s="2">
        <v>1890</v>
      </c>
      <c r="K56" s="3">
        <f>45590-46809+1219+300000-1890</f>
        <v>298110</v>
      </c>
      <c r="L56" s="143" t="s">
        <v>452</v>
      </c>
      <c r="M56" s="31" t="s">
        <v>491</v>
      </c>
      <c r="N56" s="144" t="s">
        <v>453</v>
      </c>
      <c r="O56" s="19" t="s">
        <v>188</v>
      </c>
      <c r="P56" s="19" t="s">
        <v>247</v>
      </c>
      <c r="Q56" s="41">
        <v>300000</v>
      </c>
      <c r="R56" s="41">
        <v>4200</v>
      </c>
      <c r="S56" s="41">
        <f t="shared" si="1"/>
        <v>295800</v>
      </c>
      <c r="T56" s="19" t="str">
        <f t="shared" si="2"/>
        <v>X</v>
      </c>
    </row>
    <row r="57" spans="1:20" ht="27.75" customHeight="1">
      <c r="A57" s="17">
        <v>54</v>
      </c>
      <c r="B57" s="30" t="s">
        <v>21</v>
      </c>
      <c r="C57" s="25" t="s">
        <v>82</v>
      </c>
      <c r="D57" s="1" t="s">
        <v>24</v>
      </c>
      <c r="E57" s="7">
        <v>100000</v>
      </c>
      <c r="F57" s="6">
        <v>2</v>
      </c>
      <c r="G57" s="12">
        <f t="shared" si="0"/>
        <v>200000</v>
      </c>
      <c r="H57" s="86" t="s">
        <v>178</v>
      </c>
      <c r="I57" s="86" t="s">
        <v>71</v>
      </c>
      <c r="J57" s="2">
        <v>0</v>
      </c>
      <c r="K57" s="3">
        <f>200000-(-7917)-0-0-J57</f>
        <v>207917</v>
      </c>
      <c r="M57" s="49" t="s">
        <v>484</v>
      </c>
      <c r="N57" s="19" t="s">
        <v>177</v>
      </c>
      <c r="O57" s="19" t="s">
        <v>176</v>
      </c>
      <c r="P57" s="19" t="s">
        <v>246</v>
      </c>
      <c r="Q57" s="41">
        <v>207917</v>
      </c>
      <c r="R57" s="41">
        <v>0</v>
      </c>
      <c r="S57" s="41">
        <f t="shared" si="1"/>
        <v>207917</v>
      </c>
      <c r="T57" s="19" t="str">
        <f t="shared" si="2"/>
        <v>O</v>
      </c>
    </row>
    <row r="58" spans="1:20" ht="27.75" customHeight="1">
      <c r="A58" s="17">
        <v>55</v>
      </c>
      <c r="B58" s="30" t="s">
        <v>21</v>
      </c>
      <c r="C58" s="25" t="s">
        <v>51</v>
      </c>
      <c r="D58" s="1" t="s">
        <v>25</v>
      </c>
      <c r="E58" s="7">
        <v>50000</v>
      </c>
      <c r="F58" s="6">
        <v>6</v>
      </c>
      <c r="G58" s="12">
        <f t="shared" si="0"/>
        <v>300000</v>
      </c>
      <c r="H58" s="86" t="s">
        <v>64</v>
      </c>
      <c r="I58" s="86" t="s">
        <v>90</v>
      </c>
      <c r="J58" s="2">
        <v>525</v>
      </c>
      <c r="K58" s="3">
        <f>291213-8534-415-33896-7648-8294-25977-1182-1722-13726-0-1890-0-525</f>
        <v>187404</v>
      </c>
      <c r="M58" s="31" t="s">
        <v>491</v>
      </c>
      <c r="O58" s="19" t="s">
        <v>127</v>
      </c>
      <c r="P58" s="169" t="s">
        <v>502</v>
      </c>
      <c r="Q58" s="41">
        <v>187929</v>
      </c>
      <c r="R58" s="41">
        <v>500</v>
      </c>
      <c r="S58" s="41">
        <f t="shared" si="1"/>
        <v>187429</v>
      </c>
      <c r="T58" s="19" t="str">
        <f t="shared" si="2"/>
        <v>X</v>
      </c>
    </row>
    <row r="59" spans="1:20" ht="27.75" customHeight="1">
      <c r="A59" s="17">
        <v>56</v>
      </c>
      <c r="B59" s="14" t="s">
        <v>40</v>
      </c>
      <c r="C59" s="14" t="s">
        <v>28</v>
      </c>
      <c r="D59" s="1" t="s">
        <v>24</v>
      </c>
      <c r="E59" s="7">
        <v>100000</v>
      </c>
      <c r="F59" s="6">
        <v>3</v>
      </c>
      <c r="G59" s="12">
        <f t="shared" si="0"/>
        <v>300000</v>
      </c>
      <c r="H59" s="1" t="s">
        <v>90</v>
      </c>
      <c r="I59" s="1" t="s">
        <v>202</v>
      </c>
      <c r="J59" s="2">
        <v>-1439</v>
      </c>
      <c r="K59" s="3">
        <f>18092+300000-64117-22203-64266-33368-8329-22706-5462-5938-2416-37338-16832-83152+300000-17026-(-9888)-29563-35177-18692-(-788)-40201-(-470)-(-7762)-96353-(-1439)</f>
        <v>35300</v>
      </c>
      <c r="M59" s="31" t="s">
        <v>487</v>
      </c>
      <c r="N59" s="19" t="s">
        <v>195</v>
      </c>
      <c r="O59" s="19" t="s">
        <v>143</v>
      </c>
      <c r="P59" s="169" t="s">
        <v>504</v>
      </c>
      <c r="Q59" s="41">
        <v>33861</v>
      </c>
      <c r="R59" s="41">
        <v>17402</v>
      </c>
      <c r="S59" s="41">
        <f t="shared" si="1"/>
        <v>16459</v>
      </c>
      <c r="T59" s="19" t="str">
        <f t="shared" si="2"/>
        <v>X</v>
      </c>
    </row>
    <row r="60" spans="1:20" ht="27.75" customHeight="1">
      <c r="A60" s="17">
        <v>57</v>
      </c>
      <c r="B60" s="14" t="s">
        <v>40</v>
      </c>
      <c r="C60" s="13" t="s">
        <v>27</v>
      </c>
      <c r="D60" s="1" t="s">
        <v>24</v>
      </c>
      <c r="E60" s="7">
        <v>100000</v>
      </c>
      <c r="F60" s="6">
        <v>3</v>
      </c>
      <c r="G60" s="12">
        <f t="shared" si="0"/>
        <v>300000</v>
      </c>
      <c r="H60" s="127" t="s">
        <v>279</v>
      </c>
      <c r="I60" s="127" t="s">
        <v>300</v>
      </c>
      <c r="J60" s="2">
        <v>15414</v>
      </c>
      <c r="K60" s="3">
        <f>300000-43674-(-7846)-15414</f>
        <v>248758</v>
      </c>
      <c r="L60" s="128" t="s">
        <v>432</v>
      </c>
      <c r="M60" s="31" t="s">
        <v>494</v>
      </c>
      <c r="N60" s="129" t="s">
        <v>434</v>
      </c>
      <c r="O60" s="19" t="s">
        <v>169</v>
      </c>
      <c r="P60" s="19" t="s">
        <v>248</v>
      </c>
      <c r="Q60" s="41">
        <v>264172</v>
      </c>
      <c r="R60" s="41">
        <v>14680</v>
      </c>
      <c r="S60" s="41">
        <f t="shared" si="1"/>
        <v>249492</v>
      </c>
      <c r="T60" s="19" t="str">
        <f t="shared" si="2"/>
        <v>X</v>
      </c>
    </row>
    <row r="61" spans="1:20" ht="27.75" customHeight="1">
      <c r="A61" s="17">
        <v>58</v>
      </c>
      <c r="B61" s="18" t="s">
        <v>44</v>
      </c>
      <c r="C61" s="8" t="s">
        <v>56</v>
      </c>
      <c r="D61" s="1" t="s">
        <v>25</v>
      </c>
      <c r="E61" s="7">
        <v>100000</v>
      </c>
      <c r="F61" s="6">
        <v>1</v>
      </c>
      <c r="G61" s="12">
        <f t="shared" si="0"/>
        <v>100000</v>
      </c>
      <c r="H61" s="87" t="s">
        <v>71</v>
      </c>
      <c r="I61" s="87" t="s">
        <v>71</v>
      </c>
      <c r="J61" s="2">
        <v>0</v>
      </c>
      <c r="K61" s="3">
        <f>90000-49135-31500+8001-7207+920+100000-50715-2617-6556-12090-34997-4253+149-0-J61</f>
        <v>0</v>
      </c>
      <c r="L61" s="94" t="s">
        <v>26</v>
      </c>
      <c r="M61" s="49" t="s">
        <v>75</v>
      </c>
      <c r="N61" s="19" t="s">
        <v>161</v>
      </c>
      <c r="O61" s="19" t="s">
        <v>120</v>
      </c>
      <c r="P61" s="169" t="s">
        <v>503</v>
      </c>
      <c r="Q61" s="41">
        <v>0</v>
      </c>
      <c r="R61" s="41">
        <v>0</v>
      </c>
      <c r="S61" s="41">
        <f t="shared" si="1"/>
        <v>0</v>
      </c>
      <c r="T61" s="19" t="str">
        <f t="shared" si="2"/>
        <v>O</v>
      </c>
    </row>
    <row r="62" spans="1:20" ht="27.75" customHeight="1">
      <c r="A62" s="17">
        <v>59</v>
      </c>
      <c r="B62" s="30" t="s">
        <v>21</v>
      </c>
      <c r="C62" s="25" t="s">
        <v>76</v>
      </c>
      <c r="D62" s="1" t="s">
        <v>16</v>
      </c>
      <c r="E62" s="7">
        <v>100000</v>
      </c>
      <c r="F62" s="6">
        <v>3</v>
      </c>
      <c r="G62" s="12">
        <f t="shared" si="0"/>
        <v>300000</v>
      </c>
      <c r="H62" s="158" t="s">
        <v>300</v>
      </c>
      <c r="I62" s="160" t="s">
        <v>454</v>
      </c>
      <c r="J62" s="2">
        <v>46482</v>
      </c>
      <c r="K62" s="3">
        <f>10405+300000-46482</f>
        <v>263923</v>
      </c>
      <c r="L62" s="159" t="s">
        <v>489</v>
      </c>
      <c r="M62" s="31" t="s">
        <v>487</v>
      </c>
      <c r="N62" s="157" t="s">
        <v>488</v>
      </c>
      <c r="O62" s="19" t="s">
        <v>121</v>
      </c>
      <c r="P62" s="169" t="s">
        <v>504</v>
      </c>
      <c r="Q62" s="41">
        <v>10405</v>
      </c>
      <c r="R62" s="41">
        <v>46320</v>
      </c>
      <c r="S62" s="41">
        <f t="shared" si="1"/>
        <v>-35915</v>
      </c>
      <c r="T62" s="19" t="str">
        <f t="shared" si="2"/>
        <v>X</v>
      </c>
    </row>
    <row r="63" spans="1:20" ht="27.75" customHeight="1">
      <c r="A63" s="17">
        <v>60</v>
      </c>
      <c r="B63" s="14" t="s">
        <v>17</v>
      </c>
      <c r="C63" s="13" t="s">
        <v>62</v>
      </c>
      <c r="D63" s="1" t="s">
        <v>25</v>
      </c>
      <c r="E63" s="7">
        <v>50000</v>
      </c>
      <c r="F63" s="6">
        <v>6</v>
      </c>
      <c r="G63" s="12">
        <f t="shared" si="0"/>
        <v>300000</v>
      </c>
      <c r="H63" s="87" t="s">
        <v>224</v>
      </c>
      <c r="I63" s="1" t="s">
        <v>258</v>
      </c>
      <c r="J63" s="2">
        <v>3497</v>
      </c>
      <c r="K63" s="3">
        <f>300000-7875-9736-(-1040)-0-7350-99557-11208-1155-18554-3497</f>
        <v>142108</v>
      </c>
      <c r="L63" s="20"/>
      <c r="M63" s="31" t="s">
        <v>487</v>
      </c>
      <c r="N63" s="20" t="s">
        <v>251</v>
      </c>
      <c r="O63" s="19" t="s">
        <v>168</v>
      </c>
      <c r="P63" s="19" t="s">
        <v>248</v>
      </c>
      <c r="Q63" s="41">
        <v>145605</v>
      </c>
      <c r="R63" s="41">
        <v>3330</v>
      </c>
      <c r="S63" s="41">
        <f t="shared" si="1"/>
        <v>142275</v>
      </c>
      <c r="T63" s="19" t="str">
        <f t="shared" si="2"/>
        <v>X</v>
      </c>
    </row>
    <row r="64" spans="1:20" ht="27.75" customHeight="1">
      <c r="A64" s="17">
        <v>61</v>
      </c>
      <c r="B64" s="14" t="s">
        <v>17</v>
      </c>
      <c r="C64" s="13" t="s">
        <v>31</v>
      </c>
      <c r="D64" s="1" t="s">
        <v>24</v>
      </c>
      <c r="E64" s="7">
        <v>100000</v>
      </c>
      <c r="F64" s="6">
        <v>3</v>
      </c>
      <c r="G64" s="12">
        <f t="shared" si="0"/>
        <v>300000</v>
      </c>
      <c r="H64" s="87" t="s">
        <v>88</v>
      </c>
      <c r="I64" s="1" t="s">
        <v>202</v>
      </c>
      <c r="J64" s="2">
        <v>83571</v>
      </c>
      <c r="K64" s="3">
        <f>300000-48258-108671-7271-9559-275-J64</f>
        <v>42395</v>
      </c>
      <c r="L64" s="93" t="s">
        <v>352</v>
      </c>
      <c r="M64" s="31"/>
      <c r="N64" s="19" t="s">
        <v>260</v>
      </c>
      <c r="O64" s="19" t="s">
        <v>136</v>
      </c>
      <c r="P64" s="19" t="s">
        <v>247</v>
      </c>
      <c r="Q64" s="41">
        <v>125966</v>
      </c>
      <c r="R64" s="41">
        <v>83571</v>
      </c>
      <c r="S64" s="41">
        <f t="shared" si="1"/>
        <v>42395</v>
      </c>
      <c r="T64" s="19" t="str">
        <f t="shared" si="2"/>
        <v>O</v>
      </c>
    </row>
    <row r="65" spans="1:20" ht="27.75" customHeight="1">
      <c r="A65" s="17">
        <v>62</v>
      </c>
      <c r="B65" s="14" t="s">
        <v>17</v>
      </c>
      <c r="C65" s="13" t="s">
        <v>204</v>
      </c>
      <c r="D65" s="1" t="s">
        <v>25</v>
      </c>
      <c r="E65" s="7">
        <v>50000</v>
      </c>
      <c r="F65" s="6">
        <v>6</v>
      </c>
      <c r="G65" s="12">
        <f t="shared" si="0"/>
        <v>300000</v>
      </c>
      <c r="H65" s="127" t="s">
        <v>466</v>
      </c>
      <c r="I65" s="127"/>
      <c r="J65" s="2">
        <v>7581</v>
      </c>
      <c r="K65" s="3">
        <f>50000*6-21420-7581</f>
        <v>270999</v>
      </c>
      <c r="L65" s="148" t="s">
        <v>467</v>
      </c>
      <c r="M65" s="31" t="s">
        <v>494</v>
      </c>
      <c r="N65" s="186" t="s">
        <v>468</v>
      </c>
      <c r="O65" s="19" t="s">
        <v>203</v>
      </c>
      <c r="P65" s="169" t="s">
        <v>503</v>
      </c>
      <c r="Q65" s="41">
        <v>278580</v>
      </c>
      <c r="R65" s="41">
        <v>7220</v>
      </c>
      <c r="S65" s="41">
        <f t="shared" si="1"/>
        <v>271360</v>
      </c>
      <c r="T65" s="19" t="str">
        <f t="shared" si="2"/>
        <v>X</v>
      </c>
    </row>
    <row r="66" spans="1:20" ht="27.75" customHeight="1">
      <c r="A66" s="17">
        <v>63</v>
      </c>
      <c r="B66" s="14" t="s">
        <v>17</v>
      </c>
      <c r="C66" s="13" t="s">
        <v>57</v>
      </c>
      <c r="D66" s="1" t="s">
        <v>25</v>
      </c>
      <c r="E66" s="7">
        <v>50000</v>
      </c>
      <c r="F66" s="6">
        <v>6</v>
      </c>
      <c r="G66" s="12">
        <f t="shared" si="0"/>
        <v>300000</v>
      </c>
      <c r="H66" s="87" t="s">
        <v>71</v>
      </c>
      <c r="I66" s="1" t="s">
        <v>138</v>
      </c>
      <c r="J66" s="2">
        <v>5204</v>
      </c>
      <c r="K66" s="3">
        <f>9182+300000-53834-8363-66119-5118-32723-9160-2310-8921-3614-5204</f>
        <v>113816</v>
      </c>
      <c r="M66" s="31" t="s">
        <v>487</v>
      </c>
      <c r="N66" s="186" t="s">
        <v>162</v>
      </c>
      <c r="O66" s="19" t="s">
        <v>115</v>
      </c>
      <c r="P66" s="169" t="s">
        <v>503</v>
      </c>
      <c r="Q66" s="41">
        <v>119020</v>
      </c>
      <c r="R66" s="41">
        <v>4956</v>
      </c>
      <c r="S66" s="41">
        <f t="shared" si="1"/>
        <v>114064</v>
      </c>
      <c r="T66" s="19" t="str">
        <f t="shared" si="2"/>
        <v>X</v>
      </c>
    </row>
    <row r="67" spans="1:20" ht="27.75" customHeight="1">
      <c r="A67" s="17">
        <v>64</v>
      </c>
      <c r="B67" s="18" t="s">
        <v>93</v>
      </c>
      <c r="C67" s="8" t="s">
        <v>63</v>
      </c>
      <c r="D67" s="1" t="s">
        <v>60</v>
      </c>
      <c r="E67" s="7">
        <v>50000</v>
      </c>
      <c r="F67" s="6">
        <v>6</v>
      </c>
      <c r="G67" s="12">
        <f t="shared" si="0"/>
        <v>300000</v>
      </c>
      <c r="H67" s="87" t="s">
        <v>224</v>
      </c>
      <c r="I67" s="1" t="s">
        <v>138</v>
      </c>
      <c r="J67" s="2">
        <v>0</v>
      </c>
      <c r="K67" s="3">
        <f>0-(-2738)</f>
        <v>2738</v>
      </c>
      <c r="L67" s="94" t="s">
        <v>26</v>
      </c>
      <c r="M67" s="49" t="s">
        <v>484</v>
      </c>
      <c r="N67" s="19" t="s">
        <v>250</v>
      </c>
      <c r="O67" s="129" t="s">
        <v>132</v>
      </c>
      <c r="P67" s="19" t="s">
        <v>247</v>
      </c>
      <c r="Q67" s="41">
        <v>2738</v>
      </c>
      <c r="R67" s="41">
        <v>0</v>
      </c>
      <c r="S67" s="41">
        <f t="shared" si="1"/>
        <v>2738</v>
      </c>
      <c r="T67" s="19" t="str">
        <f t="shared" si="2"/>
        <v>O</v>
      </c>
    </row>
    <row r="68" spans="1:20" ht="27.75" customHeight="1">
      <c r="A68" s="17">
        <v>65</v>
      </c>
      <c r="B68" s="14" t="s">
        <v>17</v>
      </c>
      <c r="C68" s="13" t="s">
        <v>38</v>
      </c>
      <c r="D68" s="1" t="s">
        <v>15</v>
      </c>
      <c r="E68" s="7">
        <v>150000</v>
      </c>
      <c r="F68" s="6">
        <v>6</v>
      </c>
      <c r="G68" s="12">
        <f t="shared" si="0"/>
        <v>900000</v>
      </c>
      <c r="H68" s="87" t="s">
        <v>268</v>
      </c>
      <c r="I68" s="1" t="s">
        <v>269</v>
      </c>
      <c r="J68" s="2">
        <v>140431</v>
      </c>
      <c r="K68" s="3">
        <f>150000*6-99420-18220-135541-82176-70245-80418-102421-90568-140431</f>
        <v>80560</v>
      </c>
      <c r="L68" s="19" t="s">
        <v>267</v>
      </c>
      <c r="M68" s="31" t="s">
        <v>501</v>
      </c>
      <c r="N68" s="19" t="s">
        <v>270</v>
      </c>
      <c r="O68" s="19" t="s">
        <v>175</v>
      </c>
      <c r="P68" s="19" t="s">
        <v>246</v>
      </c>
      <c r="Q68" s="41">
        <v>220991</v>
      </c>
      <c r="R68" s="41">
        <v>140816</v>
      </c>
      <c r="S68" s="41">
        <f t="shared" si="1"/>
        <v>80175</v>
      </c>
      <c r="T68" s="19" t="str">
        <f t="shared" si="2"/>
        <v>X</v>
      </c>
    </row>
    <row r="69" spans="1:20" ht="27.75" customHeight="1">
      <c r="A69" s="17">
        <v>66</v>
      </c>
      <c r="B69" s="14" t="s">
        <v>17</v>
      </c>
      <c r="C69" s="13" t="s">
        <v>73</v>
      </c>
      <c r="D69" s="1" t="s">
        <v>25</v>
      </c>
      <c r="E69" s="7">
        <v>50000</v>
      </c>
      <c r="F69" s="6">
        <v>6</v>
      </c>
      <c r="G69" s="12">
        <f t="shared" si="0"/>
        <v>300000</v>
      </c>
      <c r="H69" s="87" t="s">
        <v>218</v>
      </c>
      <c r="I69" s="1" t="s">
        <v>300</v>
      </c>
      <c r="J69" s="2">
        <v>2048</v>
      </c>
      <c r="K69" s="3">
        <f>73398+300000-99178+25780-11025-13244-1134-2048</f>
        <v>272549</v>
      </c>
      <c r="L69" s="93" t="s">
        <v>348</v>
      </c>
      <c r="M69" s="31" t="s">
        <v>486</v>
      </c>
      <c r="N69" s="57" t="s">
        <v>298</v>
      </c>
      <c r="O69" s="19" t="s">
        <v>146</v>
      </c>
      <c r="P69" s="19" t="s">
        <v>246</v>
      </c>
      <c r="Q69" s="41">
        <v>274597</v>
      </c>
      <c r="R69" s="41">
        <v>4524</v>
      </c>
      <c r="S69" s="41">
        <f t="shared" ref="S69:S77" si="3">Q69-R69</f>
        <v>270073</v>
      </c>
      <c r="T69" s="19" t="str">
        <f t="shared" ref="T69:T77" si="4">IF(K69=S69,"O","X")</f>
        <v>X</v>
      </c>
    </row>
    <row r="70" spans="1:20" ht="27.75" customHeight="1">
      <c r="A70" s="17">
        <v>67</v>
      </c>
      <c r="B70" s="14" t="s">
        <v>17</v>
      </c>
      <c r="C70" s="13" t="s">
        <v>309</v>
      </c>
      <c r="D70" s="1" t="s">
        <v>24</v>
      </c>
      <c r="E70" s="7">
        <v>30000</v>
      </c>
      <c r="F70" s="6">
        <v>3</v>
      </c>
      <c r="G70" s="12">
        <f t="shared" si="0"/>
        <v>90000</v>
      </c>
      <c r="H70" s="87" t="s">
        <v>218</v>
      </c>
      <c r="I70" s="1" t="s">
        <v>258</v>
      </c>
      <c r="J70" s="2">
        <v>9694</v>
      </c>
      <c r="K70" s="3">
        <f>90000-5313-6426-5644-9694</f>
        <v>62923</v>
      </c>
      <c r="L70" s="93" t="s">
        <v>349</v>
      </c>
      <c r="M70" s="31" t="s">
        <v>491</v>
      </c>
      <c r="N70" s="67" t="s">
        <v>308</v>
      </c>
      <c r="O70" s="66" t="s">
        <v>311</v>
      </c>
      <c r="P70" s="66" t="s">
        <v>312</v>
      </c>
      <c r="Q70" s="41">
        <v>72617</v>
      </c>
      <c r="R70" s="41">
        <v>9952</v>
      </c>
      <c r="S70" s="41">
        <f t="shared" si="3"/>
        <v>62665</v>
      </c>
      <c r="T70" s="19" t="str">
        <f t="shared" si="4"/>
        <v>X</v>
      </c>
    </row>
    <row r="71" spans="1:20" ht="27.75" customHeight="1">
      <c r="A71" s="17">
        <v>68</v>
      </c>
      <c r="B71" s="30" t="s">
        <v>21</v>
      </c>
      <c r="C71" s="25" t="s">
        <v>189</v>
      </c>
      <c r="D71" s="1" t="s">
        <v>15</v>
      </c>
      <c r="E71" s="7">
        <v>100000</v>
      </c>
      <c r="F71" s="6">
        <v>3</v>
      </c>
      <c r="G71" s="12">
        <f t="shared" si="0"/>
        <v>300000</v>
      </c>
      <c r="H71" s="92" t="s">
        <v>190</v>
      </c>
      <c r="I71" s="86" t="s">
        <v>191</v>
      </c>
      <c r="J71" s="2">
        <v>15574</v>
      </c>
      <c r="K71" s="3">
        <f>300000-3904-171-22279-24548-4422-0-1502-8533-20349-12344-15574</f>
        <v>186374</v>
      </c>
      <c r="M71" s="31" t="s">
        <v>491</v>
      </c>
      <c r="N71" s="20" t="s">
        <v>171</v>
      </c>
      <c r="O71" s="19" t="s">
        <v>172</v>
      </c>
      <c r="P71" s="19" t="s">
        <v>246</v>
      </c>
      <c r="Q71" s="41">
        <v>201948</v>
      </c>
      <c r="R71" s="41">
        <v>14214</v>
      </c>
      <c r="S71" s="41">
        <f t="shared" si="3"/>
        <v>187734</v>
      </c>
      <c r="T71" s="19" t="str">
        <f t="shared" si="4"/>
        <v>X</v>
      </c>
    </row>
    <row r="72" spans="1:20" ht="27.75" customHeight="1">
      <c r="A72" s="17">
        <v>69</v>
      </c>
      <c r="B72" s="16" t="s">
        <v>45</v>
      </c>
      <c r="C72" s="9" t="s">
        <v>65</v>
      </c>
      <c r="D72" s="1" t="s">
        <v>25</v>
      </c>
      <c r="E72" s="7">
        <v>30000</v>
      </c>
      <c r="F72" s="6">
        <v>3</v>
      </c>
      <c r="G72" s="12">
        <f t="shared" si="0"/>
        <v>90000</v>
      </c>
      <c r="H72" s="89" t="s">
        <v>55</v>
      </c>
      <c r="I72" s="89" t="s">
        <v>70</v>
      </c>
      <c r="J72" s="2">
        <v>18456</v>
      </c>
      <c r="K72" s="3">
        <f>300000-6732-149680+5310-23804-1573-(-4095)-2995-16120-6646-34272-19278-8610-17441-18456</f>
        <v>3798</v>
      </c>
      <c r="M72" s="31" t="s">
        <v>501</v>
      </c>
      <c r="N72" s="20"/>
      <c r="O72" s="19" t="s">
        <v>170</v>
      </c>
      <c r="P72" s="19" t="s">
        <v>246</v>
      </c>
      <c r="Q72" s="41">
        <v>22254</v>
      </c>
      <c r="R72" s="41">
        <v>17577</v>
      </c>
      <c r="S72" s="41">
        <f t="shared" si="3"/>
        <v>4677</v>
      </c>
      <c r="T72" s="19" t="str">
        <f t="shared" si="4"/>
        <v>X</v>
      </c>
    </row>
    <row r="73" spans="1:20" ht="27.75" customHeight="1">
      <c r="A73" s="17">
        <v>70</v>
      </c>
      <c r="B73" s="14" t="s">
        <v>17</v>
      </c>
      <c r="C73" s="13" t="s">
        <v>52</v>
      </c>
      <c r="D73" s="1" t="s">
        <v>25</v>
      </c>
      <c r="E73" s="7">
        <v>30000</v>
      </c>
      <c r="F73" s="6">
        <v>6</v>
      </c>
      <c r="G73" s="12">
        <f t="shared" si="0"/>
        <v>180000</v>
      </c>
      <c r="H73" s="87" t="s">
        <v>218</v>
      </c>
      <c r="I73" s="1" t="s">
        <v>300</v>
      </c>
      <c r="J73" s="2">
        <v>-1285</v>
      </c>
      <c r="K73" s="3">
        <f>39664+300000-52605-13703-6825-61956-(-1285)</f>
        <v>205860</v>
      </c>
      <c r="L73" s="93" t="s">
        <v>348</v>
      </c>
      <c r="M73" s="31" t="s">
        <v>491</v>
      </c>
      <c r="N73" s="20"/>
      <c r="O73" s="19" t="s">
        <v>147</v>
      </c>
      <c r="P73" s="19" t="s">
        <v>246</v>
      </c>
      <c r="Q73" s="41">
        <v>204575</v>
      </c>
      <c r="R73" s="41">
        <v>-1224</v>
      </c>
      <c r="S73" s="41">
        <f t="shared" si="3"/>
        <v>205799</v>
      </c>
      <c r="T73" s="19" t="str">
        <f t="shared" si="4"/>
        <v>X</v>
      </c>
    </row>
    <row r="74" spans="1:20" ht="27.75" customHeight="1">
      <c r="A74" s="17">
        <v>71</v>
      </c>
      <c r="B74" s="14" t="s">
        <v>40</v>
      </c>
      <c r="C74" s="13" t="s">
        <v>229</v>
      </c>
      <c r="D74" s="1" t="s">
        <v>25</v>
      </c>
      <c r="E74" s="7">
        <v>50000</v>
      </c>
      <c r="F74" s="6">
        <v>6</v>
      </c>
      <c r="G74" s="12">
        <f t="shared" si="0"/>
        <v>300000</v>
      </c>
      <c r="H74" s="87" t="s">
        <v>201</v>
      </c>
      <c r="I74" s="1" t="s">
        <v>227</v>
      </c>
      <c r="J74" s="2">
        <v>33789</v>
      </c>
      <c r="K74" s="3">
        <f>-24769+24769+300000-11519-7175-(-4162)-36815-12891-127221-17220-(-19824)-(-44)-33789</f>
        <v>77400</v>
      </c>
      <c r="M74" s="31" t="s">
        <v>491</v>
      </c>
      <c r="N74" s="109" t="s">
        <v>395</v>
      </c>
      <c r="O74" s="19" t="s">
        <v>163</v>
      </c>
      <c r="P74" s="19" t="s">
        <v>246</v>
      </c>
      <c r="Q74" s="41">
        <v>111189</v>
      </c>
      <c r="R74" s="41">
        <v>31764</v>
      </c>
      <c r="S74" s="41">
        <f t="shared" si="3"/>
        <v>79425</v>
      </c>
      <c r="T74" s="19" t="str">
        <f t="shared" si="4"/>
        <v>X</v>
      </c>
    </row>
    <row r="75" spans="1:20" ht="27.75" customHeight="1">
      <c r="A75" s="17">
        <v>72</v>
      </c>
      <c r="B75" s="14" t="s">
        <v>40</v>
      </c>
      <c r="C75" s="13" t="s">
        <v>84</v>
      </c>
      <c r="D75" s="1" t="s">
        <v>25</v>
      </c>
      <c r="E75" s="7">
        <v>50000</v>
      </c>
      <c r="F75" s="6">
        <v>6</v>
      </c>
      <c r="G75" s="12">
        <f t="shared" si="0"/>
        <v>300000</v>
      </c>
      <c r="H75" s="131" t="s">
        <v>397</v>
      </c>
      <c r="I75" s="127" t="s">
        <v>398</v>
      </c>
      <c r="J75" s="2">
        <v>50357</v>
      </c>
      <c r="K75" s="3">
        <f>300000-61806+11806-50357</f>
        <v>199643</v>
      </c>
      <c r="L75" s="135" t="s">
        <v>394</v>
      </c>
      <c r="M75" s="31" t="s">
        <v>486</v>
      </c>
      <c r="N75" s="109" t="s">
        <v>396</v>
      </c>
      <c r="O75" s="19" t="s">
        <v>148</v>
      </c>
      <c r="P75" s="19" t="s">
        <v>246</v>
      </c>
      <c r="Q75" s="41">
        <v>250000</v>
      </c>
      <c r="R75" s="41">
        <v>61074</v>
      </c>
      <c r="S75" s="41">
        <f t="shared" si="3"/>
        <v>188926</v>
      </c>
      <c r="T75" s="19" t="str">
        <f t="shared" si="4"/>
        <v>X</v>
      </c>
    </row>
    <row r="76" spans="1:20" ht="27.75" customHeight="1">
      <c r="A76" s="17">
        <v>73</v>
      </c>
      <c r="B76" s="16" t="s">
        <v>20</v>
      </c>
      <c r="C76" s="9" t="s">
        <v>0</v>
      </c>
      <c r="D76" s="1" t="s">
        <v>16</v>
      </c>
      <c r="E76" s="7">
        <v>50000</v>
      </c>
      <c r="F76" s="6">
        <v>10</v>
      </c>
      <c r="G76" s="12">
        <f t="shared" si="0"/>
        <v>500000</v>
      </c>
      <c r="H76" s="89" t="s">
        <v>13</v>
      </c>
      <c r="I76" s="89" t="s">
        <v>14</v>
      </c>
      <c r="J76" s="2">
        <v>0</v>
      </c>
      <c r="K76" s="3">
        <f>3112+4900-0-0-J76</f>
        <v>8012</v>
      </c>
      <c r="M76" s="49" t="s">
        <v>484</v>
      </c>
      <c r="N76" s="93" t="s">
        <v>365</v>
      </c>
      <c r="O76" s="19" t="s">
        <v>192</v>
      </c>
      <c r="P76" s="19" t="s">
        <v>248</v>
      </c>
      <c r="Q76" s="41">
        <v>8012</v>
      </c>
      <c r="R76" s="41">
        <v>0</v>
      </c>
      <c r="S76" s="41">
        <f t="shared" si="3"/>
        <v>8012</v>
      </c>
      <c r="T76" s="19" t="str">
        <f t="shared" si="4"/>
        <v>O</v>
      </c>
    </row>
    <row r="77" spans="1:20" ht="27.75" customHeight="1">
      <c r="A77" s="17">
        <v>74</v>
      </c>
      <c r="B77" s="14" t="s">
        <v>40</v>
      </c>
      <c r="C77" s="13" t="s">
        <v>244</v>
      </c>
      <c r="D77" s="1" t="s">
        <v>15</v>
      </c>
      <c r="E77" s="7">
        <v>100000</v>
      </c>
      <c r="F77" s="6">
        <v>3</v>
      </c>
      <c r="G77" s="12">
        <f t="shared" si="0"/>
        <v>300000</v>
      </c>
      <c r="H77" s="87" t="s">
        <v>224</v>
      </c>
      <c r="I77" s="1" t="s">
        <v>138</v>
      </c>
      <c r="J77" s="2">
        <v>29505</v>
      </c>
      <c r="K77" s="3">
        <f>20902+300000-35247-49429-34239-31248-33787-54580-15388-234-28497-29505</f>
        <v>8748</v>
      </c>
      <c r="L77" s="93" t="s">
        <v>357</v>
      </c>
      <c r="M77" s="31" t="s">
        <v>491</v>
      </c>
      <c r="N77" s="40" t="s">
        <v>253</v>
      </c>
      <c r="O77" s="19" t="s">
        <v>164</v>
      </c>
      <c r="P77" s="169" t="s">
        <v>502</v>
      </c>
      <c r="Q77" s="41">
        <v>38253</v>
      </c>
      <c r="R77" s="41">
        <v>28100</v>
      </c>
      <c r="S77" s="41">
        <f t="shared" si="3"/>
        <v>10153</v>
      </c>
      <c r="T77" s="19" t="str">
        <f t="shared" si="4"/>
        <v>X</v>
      </c>
    </row>
    <row r="78" spans="1:20" ht="21" customHeight="1">
      <c r="A78" s="189" t="s">
        <v>18</v>
      </c>
      <c r="B78" s="189"/>
      <c r="C78" s="189"/>
      <c r="D78" s="189"/>
      <c r="E78" s="190">
        <f>SUM(E3:E77)</f>
        <v>6430000</v>
      </c>
      <c r="F78" s="190"/>
      <c r="G78" s="190"/>
      <c r="H78" s="189" t="s">
        <v>23</v>
      </c>
      <c r="I78" s="189"/>
      <c r="J78" s="190">
        <f>SUM(J3:J77)</f>
        <v>1868262</v>
      </c>
      <c r="K78" s="190"/>
    </row>
    <row r="79" spans="1:20" ht="20.25" customHeight="1">
      <c r="A79" s="189" t="s">
        <v>29</v>
      </c>
      <c r="B79" s="189"/>
      <c r="C79" s="189"/>
      <c r="D79" s="189"/>
      <c r="E79" s="190">
        <f>E78-SUMIF(B3:B77,"待續約",E3:E77)</f>
        <v>5700000</v>
      </c>
      <c r="F79" s="190"/>
      <c r="G79" s="190"/>
      <c r="H79" s="191"/>
      <c r="I79" s="192"/>
      <c r="J79" s="193"/>
      <c r="K79" s="194"/>
    </row>
    <row r="80" spans="1:20" ht="21">
      <c r="A80" s="35" t="s">
        <v>19</v>
      </c>
      <c r="B80" s="4">
        <f>COUNTA(C3:C77)</f>
        <v>75</v>
      </c>
      <c r="C80" s="4" t="s">
        <v>20</v>
      </c>
      <c r="D80" s="4">
        <f>COUNTIF(B3:B77,"嚴重")</f>
        <v>3</v>
      </c>
      <c r="E80" s="4" t="s">
        <v>21</v>
      </c>
      <c r="F80" s="4">
        <f>COUNTIF(B3:B77,"逾期")</f>
        <v>10</v>
      </c>
      <c r="G80" s="36"/>
      <c r="H80" s="4" t="s">
        <v>22</v>
      </c>
      <c r="I80" s="4">
        <f>B80-D80-F80</f>
        <v>62</v>
      </c>
      <c r="J80" s="4" t="s">
        <v>7</v>
      </c>
      <c r="K80" s="37">
        <f>J78/E79</f>
        <v>0.32776526315789473</v>
      </c>
    </row>
    <row r="81" spans="1:20" s="21" customFormat="1">
      <c r="A81" s="19" t="s">
        <v>245</v>
      </c>
      <c r="B81" s="19"/>
      <c r="E81" s="38"/>
      <c r="G81" s="39"/>
      <c r="K81" s="19"/>
      <c r="N81" s="19"/>
      <c r="Q81" s="42"/>
      <c r="R81" s="41"/>
      <c r="S81" s="41"/>
      <c r="T81" s="19"/>
    </row>
    <row r="82" spans="1:20">
      <c r="N82" s="21"/>
    </row>
    <row r="84" spans="1:20" ht="18.75">
      <c r="B84" s="14" t="s">
        <v>17</v>
      </c>
      <c r="C84" s="13"/>
    </row>
    <row r="85" spans="1:20" ht="18.75">
      <c r="B85" s="18" t="s">
        <v>93</v>
      </c>
      <c r="C85" s="8"/>
    </row>
    <row r="86" spans="1:20" ht="18.75">
      <c r="B86" s="138" t="s">
        <v>30</v>
      </c>
      <c r="C86" s="139"/>
    </row>
    <row r="87" spans="1:20" ht="18.75">
      <c r="B87" s="30" t="s">
        <v>21</v>
      </c>
      <c r="C87" s="25"/>
    </row>
    <row r="88" spans="1:20" ht="18.75">
      <c r="B88" s="16" t="s">
        <v>20</v>
      </c>
      <c r="C88" s="9"/>
    </row>
  </sheetData>
  <autoFilter ref="A2:S81" xr:uid="{00000000-0009-0000-0000-000008000000}"/>
  <mergeCells count="9">
    <mergeCell ref="A79:D79"/>
    <mergeCell ref="E79:G79"/>
    <mergeCell ref="H79:I79"/>
    <mergeCell ref="J79:K79"/>
    <mergeCell ref="A1:K1"/>
    <mergeCell ref="A78:D78"/>
    <mergeCell ref="E78:G78"/>
    <mergeCell ref="H78:I78"/>
    <mergeCell ref="J78:K78"/>
  </mergeCells>
  <phoneticPr fontId="54" type="noConversion"/>
  <conditionalFormatting sqref="A2:C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{7630DE45-4045-48AA-BF4A-5816AF7B2C7F}</x14:id>
        </ext>
      </extLst>
    </cfRule>
  </conditionalFormatting>
  <conditionalFormatting sqref="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{FBF8AB8C-C0B2-46F2-91CC-624015392A05}</x14:id>
        </ext>
      </extLst>
    </cfRule>
  </conditionalFormatting>
  <conditionalFormatting sqref="E2:I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{1004D172-5ED5-45F9-8CC6-35D7866B4028}</x14:id>
        </ext>
      </extLst>
    </cfRule>
  </conditionalFormatting>
  <conditionalFormatting sqref="J2:K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{EDC1367B-1CD9-4D54-AC80-1587828077A6}</x14:id>
        </ext>
      </extLst>
    </cfRule>
  </conditionalFormatting>
  <pageMargins left="0.31496062992125984" right="0.11811023622047245" top="0.15748031496062992" bottom="0" header="0.31496062992125984" footer="0.31496062992125984"/>
  <pageSetup paperSize="9" scale="65" fitToHeight="0" orientation="portrait" verticalDpi="18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30DE45-4045-48AA-BF4A-5816AF7B2C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A2:C2</xm:sqref>
        </x14:conditionalFormatting>
        <x14:conditionalFormatting xmlns:xm="http://schemas.microsoft.com/office/excel/2006/main">
          <x14:cfRule type="dataBar" id="{FBF8AB8C-C0B2-46F2-91CC-624015392A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1004D172-5ED5-45F9-8CC6-35D7866B4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E2:I2</xm:sqref>
        </x14:conditionalFormatting>
        <x14:conditionalFormatting xmlns:xm="http://schemas.microsoft.com/office/excel/2006/main">
          <x14:cfRule type="dataBar" id="{EDC1367B-1CD9-4D54-AC80-1587828077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J2:K2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A318-9B16-4050-9E99-0BC9B49F2CFD}">
  <sheetPr>
    <pageSetUpPr fitToPage="1"/>
  </sheetPr>
  <dimension ref="A1:T88"/>
  <sheetViews>
    <sheetView zoomScale="80" zoomScaleNormal="80" zoomScaleSheetLayoutView="90" workbookViewId="0">
      <pane ySplit="2" topLeftCell="A66" activePane="bottomLeft" state="frozen"/>
      <selection pane="bottomLeft" activeCell="K6" sqref="K6"/>
    </sheetView>
  </sheetViews>
  <sheetFormatPr defaultRowHeight="15.75"/>
  <cols>
    <col min="1" max="1" width="7.25" style="19" customWidth="1"/>
    <col min="2" max="2" width="12.125" style="19" customWidth="1"/>
    <col min="3" max="3" width="13.5" style="21" customWidth="1"/>
    <col min="4" max="4" width="9.875" style="21" customWidth="1"/>
    <col min="5" max="5" width="14.625" style="21" bestFit="1" customWidth="1"/>
    <col min="6" max="6" width="7.5" style="21" customWidth="1"/>
    <col min="7" max="7" width="14" style="39" customWidth="1"/>
    <col min="8" max="8" width="12.75" style="21" customWidth="1"/>
    <col min="9" max="9" width="14.5" style="21" customWidth="1"/>
    <col min="10" max="10" width="20.25" style="21" customWidth="1"/>
    <col min="11" max="11" width="14.75" style="19" customWidth="1"/>
    <col min="12" max="12" width="9" style="19"/>
    <col min="13" max="13" width="9" style="21" customWidth="1"/>
    <col min="14" max="14" width="46.625" style="19" customWidth="1"/>
    <col min="15" max="15" width="14.375" style="19" customWidth="1"/>
    <col min="16" max="16" width="9" style="19" customWidth="1"/>
    <col min="17" max="18" width="15.25" style="41" customWidth="1"/>
    <col min="19" max="19" width="13" style="41" customWidth="1"/>
    <col min="20" max="21" width="9" style="19" customWidth="1"/>
    <col min="22" max="16384" width="9" style="19"/>
  </cols>
  <sheetData>
    <row r="1" spans="1:20" ht="33.75" customHeight="1">
      <c r="A1" s="195" t="s">
        <v>505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O1" s="19">
        <f>SUBTOTAL(3,O3:O77)</f>
        <v>75</v>
      </c>
    </row>
    <row r="2" spans="1:20" s="28" customFormat="1" ht="27" customHeight="1">
      <c r="A2" s="4" t="s">
        <v>5</v>
      </c>
      <c r="B2" s="4" t="s">
        <v>7</v>
      </c>
      <c r="C2" s="4" t="s">
        <v>4</v>
      </c>
      <c r="D2" s="4" t="s">
        <v>8</v>
      </c>
      <c r="E2" s="4" t="s">
        <v>3</v>
      </c>
      <c r="F2" s="4" t="s">
        <v>9</v>
      </c>
      <c r="G2" s="11" t="s">
        <v>2</v>
      </c>
      <c r="H2" s="4" t="s">
        <v>10</v>
      </c>
      <c r="I2" s="4" t="s">
        <v>11</v>
      </c>
      <c r="J2" s="170" t="s">
        <v>508</v>
      </c>
      <c r="K2" s="4" t="s">
        <v>1</v>
      </c>
      <c r="L2" s="28" t="s">
        <v>26</v>
      </c>
      <c r="M2" s="29" t="s">
        <v>271</v>
      </c>
      <c r="N2" s="19" t="s">
        <v>272</v>
      </c>
      <c r="O2" s="28" t="s">
        <v>273</v>
      </c>
      <c r="P2" s="28" t="s">
        <v>274</v>
      </c>
      <c r="Q2" s="43" t="s">
        <v>482</v>
      </c>
      <c r="R2" s="43" t="s">
        <v>506</v>
      </c>
      <c r="S2" s="43" t="s">
        <v>507</v>
      </c>
      <c r="T2" s="28" t="s">
        <v>271</v>
      </c>
    </row>
    <row r="3" spans="1:20" ht="27.75" customHeight="1">
      <c r="A3" s="17">
        <v>1</v>
      </c>
      <c r="B3" s="14" t="s">
        <v>40</v>
      </c>
      <c r="C3" s="13" t="s">
        <v>91</v>
      </c>
      <c r="D3" s="1" t="s">
        <v>15</v>
      </c>
      <c r="E3" s="7">
        <v>100000</v>
      </c>
      <c r="F3" s="6">
        <v>3</v>
      </c>
      <c r="G3" s="12">
        <f>E3*F3</f>
        <v>300000</v>
      </c>
      <c r="H3" s="1" t="s">
        <v>255</v>
      </c>
      <c r="I3" s="1" t="s">
        <v>279</v>
      </c>
      <c r="J3" s="2">
        <v>9876</v>
      </c>
      <c r="K3" s="3">
        <f>300000-55482-(-4155)-121529-39437-43298-9876</f>
        <v>34533</v>
      </c>
      <c r="L3" s="93" t="s">
        <v>350</v>
      </c>
      <c r="M3" s="31" t="s">
        <v>540</v>
      </c>
      <c r="N3" s="78" t="s">
        <v>333</v>
      </c>
      <c r="O3" s="19" t="s">
        <v>101</v>
      </c>
      <c r="P3" s="19" t="s">
        <v>246</v>
      </c>
      <c r="Q3" s="41">
        <v>44409</v>
      </c>
      <c r="R3" s="41">
        <v>3675</v>
      </c>
      <c r="S3" s="41">
        <f>Q3-R3</f>
        <v>40734</v>
      </c>
      <c r="T3" s="19" t="str">
        <f>IF(K3=S3,"O","X")</f>
        <v>X</v>
      </c>
    </row>
    <row r="4" spans="1:20" ht="27.75" customHeight="1">
      <c r="A4" s="17">
        <v>2</v>
      </c>
      <c r="B4" s="14" t="s">
        <v>40</v>
      </c>
      <c r="C4" s="13" t="s">
        <v>275</v>
      </c>
      <c r="D4" s="1" t="s">
        <v>24</v>
      </c>
      <c r="E4" s="7">
        <v>300000</v>
      </c>
      <c r="F4" s="6">
        <v>1</v>
      </c>
      <c r="G4" s="12">
        <f t="shared" ref="G4:G77" si="0">E4*F4</f>
        <v>300000</v>
      </c>
      <c r="H4" s="1" t="s">
        <v>300</v>
      </c>
      <c r="I4" s="1" t="s">
        <v>476</v>
      </c>
      <c r="J4" s="2">
        <v>240700</v>
      </c>
      <c r="K4" s="3">
        <f>300000-41677-240700</f>
        <v>17623</v>
      </c>
      <c r="L4" s="151" t="s">
        <v>475</v>
      </c>
      <c r="M4" s="31" t="s">
        <v>539</v>
      </c>
      <c r="N4" s="151" t="s">
        <v>477</v>
      </c>
      <c r="O4" s="19" t="s">
        <v>179</v>
      </c>
      <c r="P4" s="19" t="s">
        <v>247</v>
      </c>
      <c r="Q4" s="41">
        <v>258323</v>
      </c>
      <c r="R4" s="41">
        <v>229918</v>
      </c>
      <c r="S4" s="41">
        <f t="shared" ref="S4:S68" si="1">Q4-R4</f>
        <v>28405</v>
      </c>
      <c r="T4" s="19" t="str">
        <f t="shared" ref="T4:T68" si="2">IF(K4=S4,"O","X")</f>
        <v>X</v>
      </c>
    </row>
    <row r="5" spans="1:20" ht="27.75" customHeight="1">
      <c r="A5" s="17">
        <v>3</v>
      </c>
      <c r="B5" s="14" t="s">
        <v>40</v>
      </c>
      <c r="C5" s="13" t="s">
        <v>230</v>
      </c>
      <c r="D5" s="1" t="s">
        <v>24</v>
      </c>
      <c r="E5" s="7">
        <v>150000</v>
      </c>
      <c r="F5" s="6">
        <v>6</v>
      </c>
      <c r="G5" s="12">
        <f t="shared" si="0"/>
        <v>900000</v>
      </c>
      <c r="H5" s="1" t="s">
        <v>292</v>
      </c>
      <c r="I5" s="1" t="s">
        <v>390</v>
      </c>
      <c r="J5" s="2">
        <v>86313</v>
      </c>
      <c r="K5" s="3">
        <f>900000-73127-23300-86313</f>
        <v>717260</v>
      </c>
      <c r="L5" s="104" t="s">
        <v>389</v>
      </c>
      <c r="M5" s="31" t="s">
        <v>540</v>
      </c>
      <c r="N5" s="104" t="s">
        <v>388</v>
      </c>
      <c r="O5" s="19" t="s">
        <v>102</v>
      </c>
      <c r="P5" s="19" t="s">
        <v>246</v>
      </c>
      <c r="Q5" s="41">
        <v>803573</v>
      </c>
      <c r="R5" s="41">
        <v>80403</v>
      </c>
      <c r="S5" s="41">
        <f t="shared" si="1"/>
        <v>723170</v>
      </c>
      <c r="T5" s="19" t="str">
        <f t="shared" si="2"/>
        <v>X</v>
      </c>
    </row>
    <row r="6" spans="1:20" ht="27.75" customHeight="1">
      <c r="A6" s="17">
        <v>4</v>
      </c>
      <c r="B6" s="18" t="s">
        <v>44</v>
      </c>
      <c r="C6" s="8" t="s">
        <v>319</v>
      </c>
      <c r="D6" s="1" t="s">
        <v>24</v>
      </c>
      <c r="E6" s="7">
        <v>100000</v>
      </c>
      <c r="F6" s="6">
        <v>3</v>
      </c>
      <c r="G6" s="12">
        <f t="shared" si="0"/>
        <v>300000</v>
      </c>
      <c r="H6" s="1" t="s">
        <v>74</v>
      </c>
      <c r="I6" s="1" t="s">
        <v>88</v>
      </c>
      <c r="J6" s="2">
        <v>42837</v>
      </c>
      <c r="K6" s="3">
        <f>11726+300000-42837</f>
        <v>268889</v>
      </c>
      <c r="L6" s="182" t="s">
        <v>535</v>
      </c>
      <c r="M6" s="31" t="s">
        <v>537</v>
      </c>
      <c r="N6" s="183" t="s">
        <v>536</v>
      </c>
      <c r="O6" s="19" t="s">
        <v>135</v>
      </c>
      <c r="P6" s="19" t="s">
        <v>247</v>
      </c>
      <c r="Q6" s="41">
        <v>11726</v>
      </c>
      <c r="R6" s="41">
        <v>40797</v>
      </c>
      <c r="S6" s="41">
        <f t="shared" si="1"/>
        <v>-29071</v>
      </c>
      <c r="T6" s="19" t="str">
        <f t="shared" si="2"/>
        <v>X</v>
      </c>
    </row>
    <row r="7" spans="1:20" ht="27.75" customHeight="1">
      <c r="A7" s="17">
        <v>5</v>
      </c>
      <c r="B7" s="16" t="s">
        <v>45</v>
      </c>
      <c r="C7" s="9" t="s">
        <v>320</v>
      </c>
      <c r="D7" s="1" t="s">
        <v>24</v>
      </c>
      <c r="E7" s="7">
        <v>100000</v>
      </c>
      <c r="F7" s="6">
        <v>3</v>
      </c>
      <c r="G7" s="12">
        <f t="shared" si="0"/>
        <v>300000</v>
      </c>
      <c r="H7" s="89" t="s">
        <v>70</v>
      </c>
      <c r="I7" s="89" t="s">
        <v>69</v>
      </c>
      <c r="J7" s="2">
        <v>-3774</v>
      </c>
      <c r="K7" s="3">
        <f>300000-110880-13703+275-983-2667-76360-1515-284-(-402)-0-9293-0-336-0-(-1859)-13352-(-3774)</f>
        <v>76937</v>
      </c>
      <c r="M7" s="31" t="s">
        <v>544</v>
      </c>
      <c r="N7" s="171" t="s">
        <v>510</v>
      </c>
      <c r="O7" s="19" t="s">
        <v>124</v>
      </c>
      <c r="P7" s="19" t="s">
        <v>248</v>
      </c>
      <c r="Q7" s="41">
        <v>73163</v>
      </c>
      <c r="R7" s="41">
        <v>-3594</v>
      </c>
      <c r="S7" s="41">
        <f t="shared" si="1"/>
        <v>76757</v>
      </c>
      <c r="T7" s="19" t="str">
        <f t="shared" si="2"/>
        <v>X</v>
      </c>
    </row>
    <row r="8" spans="1:20" ht="27.75" customHeight="1">
      <c r="A8" s="17">
        <v>6</v>
      </c>
      <c r="B8" s="16" t="s">
        <v>45</v>
      </c>
      <c r="C8" s="9" t="s">
        <v>321</v>
      </c>
      <c r="D8" s="1" t="s">
        <v>24</v>
      </c>
      <c r="E8" s="7">
        <v>300000</v>
      </c>
      <c r="F8" s="6">
        <v>1</v>
      </c>
      <c r="G8" s="12">
        <f t="shared" si="0"/>
        <v>300000</v>
      </c>
      <c r="H8" s="89" t="s">
        <v>69</v>
      </c>
      <c r="I8" s="89" t="s">
        <v>384</v>
      </c>
      <c r="J8" s="2">
        <v>6615</v>
      </c>
      <c r="K8" s="3">
        <f>12197+300000-6426-118879-0-(-13440)-7497-95-6615</f>
        <v>186125</v>
      </c>
      <c r="M8" s="31" t="s">
        <v>75</v>
      </c>
      <c r="N8" s="171" t="s">
        <v>511</v>
      </c>
      <c r="O8" s="19" t="s">
        <v>103</v>
      </c>
      <c r="P8" s="169" t="s">
        <v>312</v>
      </c>
      <c r="Q8" s="41">
        <v>192740</v>
      </c>
      <c r="R8" s="41">
        <v>6300</v>
      </c>
      <c r="S8" s="41">
        <f t="shared" si="1"/>
        <v>186440</v>
      </c>
      <c r="T8" s="19" t="str">
        <f t="shared" si="2"/>
        <v>X</v>
      </c>
    </row>
    <row r="9" spans="1:20" ht="27.75" customHeight="1">
      <c r="A9" s="17">
        <v>7</v>
      </c>
      <c r="B9" s="14" t="s">
        <v>17</v>
      </c>
      <c r="C9" s="13" t="s">
        <v>282</v>
      </c>
      <c r="D9" s="1" t="s">
        <v>24</v>
      </c>
      <c r="E9" s="7">
        <v>100000</v>
      </c>
      <c r="F9" s="6">
        <v>3</v>
      </c>
      <c r="G9" s="12">
        <f t="shared" si="0"/>
        <v>300000</v>
      </c>
      <c r="H9" s="164" t="s">
        <v>495</v>
      </c>
      <c r="I9" s="164" t="s">
        <v>476</v>
      </c>
      <c r="J9" s="2">
        <v>104957</v>
      </c>
      <c r="K9" s="3">
        <f>300000-34860-J9</f>
        <v>160183</v>
      </c>
      <c r="L9" s="163" t="s">
        <v>493</v>
      </c>
      <c r="M9" s="31" t="s">
        <v>539</v>
      </c>
      <c r="N9" s="165" t="s">
        <v>496</v>
      </c>
      <c r="O9" s="19" t="s">
        <v>104</v>
      </c>
      <c r="P9" s="19" t="s">
        <v>248</v>
      </c>
      <c r="Q9" s="41">
        <v>265140</v>
      </c>
      <c r="R9" s="41">
        <v>49214</v>
      </c>
      <c r="S9" s="41">
        <f t="shared" si="1"/>
        <v>215926</v>
      </c>
      <c r="T9" s="19" t="str">
        <f t="shared" si="2"/>
        <v>X</v>
      </c>
    </row>
    <row r="10" spans="1:20" ht="27.75" customHeight="1">
      <c r="A10" s="17">
        <v>8</v>
      </c>
      <c r="B10" s="14" t="s">
        <v>40</v>
      </c>
      <c r="C10" s="13" t="s">
        <v>199</v>
      </c>
      <c r="D10" s="1" t="s">
        <v>24</v>
      </c>
      <c r="E10" s="7">
        <v>100000</v>
      </c>
      <c r="F10" s="6">
        <v>3</v>
      </c>
      <c r="G10" s="12">
        <f t="shared" si="0"/>
        <v>300000</v>
      </c>
      <c r="H10" s="1" t="s">
        <v>300</v>
      </c>
      <c r="I10" s="1" t="s">
        <v>476</v>
      </c>
      <c r="J10" s="2">
        <v>33291</v>
      </c>
      <c r="K10" s="3">
        <f>20777+300000-115450-33291</f>
        <v>172036</v>
      </c>
      <c r="L10" s="153" t="s">
        <v>483</v>
      </c>
      <c r="M10" s="31" t="s">
        <v>537</v>
      </c>
      <c r="N10" s="157" t="s">
        <v>490</v>
      </c>
      <c r="O10" s="19" t="s">
        <v>105</v>
      </c>
      <c r="P10" s="169" t="s">
        <v>312</v>
      </c>
      <c r="Q10" s="41">
        <v>205327</v>
      </c>
      <c r="R10" s="41">
        <v>25602</v>
      </c>
      <c r="S10" s="41">
        <f t="shared" si="1"/>
        <v>179725</v>
      </c>
      <c r="T10" s="19" t="str">
        <f t="shared" si="2"/>
        <v>X</v>
      </c>
    </row>
    <row r="11" spans="1:20" ht="27.75" customHeight="1">
      <c r="A11" s="17">
        <v>9</v>
      </c>
      <c r="B11" s="14" t="s">
        <v>17</v>
      </c>
      <c r="C11" s="13" t="s">
        <v>96</v>
      </c>
      <c r="D11" s="1" t="s">
        <v>25</v>
      </c>
      <c r="E11" s="7">
        <v>50000</v>
      </c>
      <c r="F11" s="6">
        <v>6</v>
      </c>
      <c r="G11" s="12">
        <f t="shared" si="0"/>
        <v>300000</v>
      </c>
      <c r="H11" s="166" t="s">
        <v>437</v>
      </c>
      <c r="I11" s="166" t="s">
        <v>498</v>
      </c>
      <c r="J11" s="2">
        <v>36565</v>
      </c>
      <c r="K11" s="3">
        <f>300000-36565</f>
        <v>263435</v>
      </c>
      <c r="L11" s="167" t="s">
        <v>499</v>
      </c>
      <c r="M11" s="31"/>
      <c r="N11" s="168" t="s">
        <v>500</v>
      </c>
      <c r="O11" s="19" t="s">
        <v>154</v>
      </c>
      <c r="P11" s="169" t="s">
        <v>312</v>
      </c>
      <c r="Q11" s="41">
        <v>0</v>
      </c>
      <c r="R11" s="41">
        <v>34824</v>
      </c>
      <c r="S11" s="41">
        <f t="shared" si="1"/>
        <v>-34824</v>
      </c>
      <c r="T11" s="19" t="str">
        <f t="shared" si="2"/>
        <v>X</v>
      </c>
    </row>
    <row r="12" spans="1:20" ht="27.75" customHeight="1">
      <c r="A12" s="17">
        <v>10</v>
      </c>
      <c r="B12" s="14" t="s">
        <v>40</v>
      </c>
      <c r="C12" s="13" t="s">
        <v>92</v>
      </c>
      <c r="D12" s="1" t="s">
        <v>25</v>
      </c>
      <c r="E12" s="7">
        <v>50000</v>
      </c>
      <c r="F12" s="6">
        <v>6</v>
      </c>
      <c r="G12" s="12">
        <f t="shared" si="0"/>
        <v>300000</v>
      </c>
      <c r="H12" s="1" t="s">
        <v>74</v>
      </c>
      <c r="I12" s="1" t="s">
        <v>218</v>
      </c>
      <c r="J12" s="2">
        <v>25664</v>
      </c>
      <c r="K12" s="3">
        <f>62665+325825-138490-(-1302)-3503-48038-2835-13986-10080-1033-(-504)-43050-25664</f>
        <v>103617</v>
      </c>
      <c r="M12" s="31" t="s">
        <v>545</v>
      </c>
      <c r="N12" s="19" t="s">
        <v>209</v>
      </c>
      <c r="O12" s="19" t="s">
        <v>106</v>
      </c>
      <c r="P12" s="169" t="s">
        <v>503</v>
      </c>
      <c r="Q12" s="41">
        <v>129281</v>
      </c>
      <c r="R12" s="41">
        <v>-1874</v>
      </c>
      <c r="S12" s="41">
        <f t="shared" si="1"/>
        <v>131155</v>
      </c>
      <c r="T12" s="19" t="str">
        <f t="shared" si="2"/>
        <v>X</v>
      </c>
    </row>
    <row r="13" spans="1:20" ht="27.75" customHeight="1">
      <c r="A13" s="17">
        <v>11</v>
      </c>
      <c r="B13" s="18" t="s">
        <v>44</v>
      </c>
      <c r="C13" s="8" t="s">
        <v>94</v>
      </c>
      <c r="D13" s="1" t="s">
        <v>25</v>
      </c>
      <c r="E13" s="7">
        <v>50000</v>
      </c>
      <c r="F13" s="6">
        <v>6</v>
      </c>
      <c r="G13" s="12">
        <f t="shared" si="0"/>
        <v>300000</v>
      </c>
      <c r="H13" s="1" t="s">
        <v>50</v>
      </c>
      <c r="I13" s="1" t="s">
        <v>67</v>
      </c>
      <c r="J13" s="2">
        <v>1638</v>
      </c>
      <c r="K13" s="3">
        <f>-1638+1638</f>
        <v>0</v>
      </c>
      <c r="L13" s="94" t="s">
        <v>26</v>
      </c>
      <c r="M13" s="31" t="s">
        <v>540</v>
      </c>
      <c r="N13" s="149" t="s">
        <v>471</v>
      </c>
      <c r="O13" s="19" t="s">
        <v>153</v>
      </c>
      <c r="P13" s="169" t="s">
        <v>312</v>
      </c>
      <c r="Q13" s="41">
        <v>3090</v>
      </c>
      <c r="R13" s="41">
        <v>1560</v>
      </c>
      <c r="S13" s="41">
        <f t="shared" si="1"/>
        <v>1530</v>
      </c>
      <c r="T13" s="19" t="str">
        <f t="shared" si="2"/>
        <v>X</v>
      </c>
    </row>
    <row r="14" spans="1:20" ht="27.75" customHeight="1">
      <c r="A14" s="17">
        <v>12</v>
      </c>
      <c r="B14" s="14" t="s">
        <v>40</v>
      </c>
      <c r="C14" s="13" t="s">
        <v>208</v>
      </c>
      <c r="D14" s="1" t="s">
        <v>15</v>
      </c>
      <c r="E14" s="7">
        <v>100000</v>
      </c>
      <c r="F14" s="6">
        <v>4</v>
      </c>
      <c r="G14" s="12">
        <f t="shared" si="0"/>
        <v>400000</v>
      </c>
      <c r="H14" s="1" t="s">
        <v>215</v>
      </c>
      <c r="I14" s="1" t="s">
        <v>216</v>
      </c>
      <c r="J14" s="2">
        <v>-1720</v>
      </c>
      <c r="K14" s="3">
        <f>40795+400000-59317-2730-3-(-337)-66864-7508-12075-0-15939-6300-69258-26158-(-1720)</f>
        <v>176700</v>
      </c>
      <c r="M14" s="31" t="s">
        <v>537</v>
      </c>
      <c r="N14" s="19" t="s">
        <v>213</v>
      </c>
      <c r="O14" s="19" t="s">
        <v>149</v>
      </c>
      <c r="P14" s="19" t="s">
        <v>246</v>
      </c>
      <c r="Q14" s="41">
        <v>174980</v>
      </c>
      <c r="R14" s="41">
        <v>-1720</v>
      </c>
      <c r="S14" s="41">
        <f t="shared" si="1"/>
        <v>176700</v>
      </c>
      <c r="T14" s="19" t="str">
        <f t="shared" si="2"/>
        <v>O</v>
      </c>
    </row>
    <row r="15" spans="1:20" ht="27.75" customHeight="1">
      <c r="A15" s="17">
        <v>13</v>
      </c>
      <c r="B15" s="14" t="s">
        <v>40</v>
      </c>
      <c r="C15" s="13" t="s">
        <v>322</v>
      </c>
      <c r="D15" s="1" t="s">
        <v>24</v>
      </c>
      <c r="E15" s="7">
        <v>100000</v>
      </c>
      <c r="F15" s="6">
        <v>2</v>
      </c>
      <c r="G15" s="12">
        <f t="shared" si="0"/>
        <v>200000</v>
      </c>
      <c r="H15" s="1" t="s">
        <v>201</v>
      </c>
      <c r="I15" s="1" t="s">
        <v>217</v>
      </c>
      <c r="J15" s="2">
        <v>0</v>
      </c>
      <c r="K15" s="3">
        <f>-(-7344)+200000-9702-J15</f>
        <v>197642</v>
      </c>
      <c r="M15" s="49" t="s">
        <v>75</v>
      </c>
      <c r="N15" s="19" t="s">
        <v>214</v>
      </c>
      <c r="O15" s="19" t="s">
        <v>152</v>
      </c>
      <c r="P15" s="19" t="s">
        <v>246</v>
      </c>
      <c r="Q15" s="41">
        <v>197642</v>
      </c>
      <c r="R15" s="41">
        <v>0</v>
      </c>
      <c r="S15" s="41">
        <f t="shared" si="1"/>
        <v>197642</v>
      </c>
      <c r="T15" s="19" t="str">
        <f t="shared" si="2"/>
        <v>O</v>
      </c>
    </row>
    <row r="16" spans="1:20" ht="27.75" customHeight="1">
      <c r="A16" s="17">
        <v>14</v>
      </c>
      <c r="B16" s="14" t="s">
        <v>40</v>
      </c>
      <c r="C16" s="13" t="s">
        <v>180</v>
      </c>
      <c r="D16" s="1" t="s">
        <v>25</v>
      </c>
      <c r="E16" s="7">
        <v>50000</v>
      </c>
      <c r="F16" s="6">
        <v>6</v>
      </c>
      <c r="G16" s="12">
        <f t="shared" si="0"/>
        <v>300000</v>
      </c>
      <c r="H16" s="1" t="s">
        <v>74</v>
      </c>
      <c r="I16" s="1" t="s">
        <v>218</v>
      </c>
      <c r="J16" s="2">
        <v>64987</v>
      </c>
      <c r="K16" s="3">
        <f>300000-19677-24570-5114-5027-17277-0-52504-11933-3910-18970-64987</f>
        <v>76031</v>
      </c>
      <c r="M16" s="31" t="s">
        <v>544</v>
      </c>
      <c r="N16" s="19" t="s">
        <v>220</v>
      </c>
      <c r="O16" s="19" t="s">
        <v>137</v>
      </c>
      <c r="P16" s="19" t="s">
        <v>247</v>
      </c>
      <c r="Q16" s="41">
        <v>141018</v>
      </c>
      <c r="R16" s="41">
        <v>57077</v>
      </c>
      <c r="S16" s="41">
        <f t="shared" si="1"/>
        <v>83941</v>
      </c>
      <c r="T16" s="19" t="str">
        <f t="shared" si="2"/>
        <v>X</v>
      </c>
    </row>
    <row r="17" spans="1:20" ht="27.75" customHeight="1">
      <c r="A17" s="17">
        <v>15</v>
      </c>
      <c r="B17" s="14" t="s">
        <v>40</v>
      </c>
      <c r="C17" s="13" t="s">
        <v>259</v>
      </c>
      <c r="D17" s="1" t="s">
        <v>25</v>
      </c>
      <c r="E17" s="7">
        <v>50000</v>
      </c>
      <c r="F17" s="6">
        <v>6</v>
      </c>
      <c r="G17" s="12">
        <f t="shared" si="0"/>
        <v>300000</v>
      </c>
      <c r="H17" s="1" t="s">
        <v>279</v>
      </c>
      <c r="I17" s="1" t="s">
        <v>399</v>
      </c>
      <c r="J17" s="2">
        <v>37411</v>
      </c>
      <c r="K17" s="3">
        <f>5398+300000-41267-20021-34671-37918-72589-84246+300000-46111-65034-77765-37411</f>
        <v>88365</v>
      </c>
      <c r="L17" s="104" t="s">
        <v>394</v>
      </c>
      <c r="M17" s="31" t="s">
        <v>544</v>
      </c>
      <c r="N17" s="111" t="s">
        <v>401</v>
      </c>
      <c r="O17" s="19" t="s">
        <v>151</v>
      </c>
      <c r="P17" s="19" t="s">
        <v>247</v>
      </c>
      <c r="Q17" s="41">
        <v>125776</v>
      </c>
      <c r="R17" s="41">
        <v>25119</v>
      </c>
      <c r="S17" s="41">
        <f t="shared" si="1"/>
        <v>100657</v>
      </c>
      <c r="T17" s="19" t="str">
        <f t="shared" si="2"/>
        <v>X</v>
      </c>
    </row>
    <row r="18" spans="1:20" ht="27.75" customHeight="1">
      <c r="A18" s="17">
        <v>16</v>
      </c>
      <c r="B18" s="14" t="s">
        <v>40</v>
      </c>
      <c r="C18" s="13" t="s">
        <v>181</v>
      </c>
      <c r="D18" s="1" t="s">
        <v>24</v>
      </c>
      <c r="E18" s="7">
        <v>100000</v>
      </c>
      <c r="F18" s="6">
        <v>3</v>
      </c>
      <c r="G18" s="12">
        <f t="shared" si="0"/>
        <v>300000</v>
      </c>
      <c r="H18" s="1" t="s">
        <v>279</v>
      </c>
      <c r="I18" s="1" t="s">
        <v>300</v>
      </c>
      <c r="J18" s="2">
        <f>9988+6038</f>
        <v>16026</v>
      </c>
      <c r="K18" s="3">
        <f>26337-39367+300000-139673+13030-61529-62368-16026</f>
        <v>20404</v>
      </c>
      <c r="L18" s="107" t="s">
        <v>375</v>
      </c>
      <c r="M18" s="31" t="s">
        <v>540</v>
      </c>
      <c r="N18" s="48" t="s">
        <v>288</v>
      </c>
      <c r="O18" s="19" t="s">
        <v>155</v>
      </c>
      <c r="P18" s="19" t="s">
        <v>248</v>
      </c>
      <c r="Q18" s="41">
        <v>36430</v>
      </c>
      <c r="R18" s="41">
        <v>16328</v>
      </c>
      <c r="S18" s="41">
        <f t="shared" si="1"/>
        <v>20102</v>
      </c>
      <c r="T18" s="19" t="str">
        <f t="shared" si="2"/>
        <v>X</v>
      </c>
    </row>
    <row r="19" spans="1:20" ht="27.75" customHeight="1">
      <c r="A19" s="17">
        <v>17</v>
      </c>
      <c r="B19" s="14" t="s">
        <v>17</v>
      </c>
      <c r="C19" s="13" t="s">
        <v>173</v>
      </c>
      <c r="D19" s="1" t="s">
        <v>25</v>
      </c>
      <c r="E19" s="7">
        <v>50000</v>
      </c>
      <c r="F19" s="6">
        <v>6</v>
      </c>
      <c r="G19" s="12">
        <f t="shared" si="0"/>
        <v>300000</v>
      </c>
      <c r="H19" s="87" t="s">
        <v>255</v>
      </c>
      <c r="I19" s="1" t="s">
        <v>269</v>
      </c>
      <c r="J19" s="2">
        <v>58969</v>
      </c>
      <c r="K19" s="3">
        <f>64639+300000-141919-27715-50376-65175-29119-58969+8634</f>
        <v>0</v>
      </c>
      <c r="L19" s="93" t="s">
        <v>351</v>
      </c>
      <c r="M19" s="31" t="s">
        <v>539</v>
      </c>
      <c r="N19" s="83" t="s">
        <v>339</v>
      </c>
      <c r="O19" s="19" t="s">
        <v>107</v>
      </c>
      <c r="P19" s="19" t="s">
        <v>248</v>
      </c>
      <c r="Q19" s="41">
        <v>50335</v>
      </c>
      <c r="R19" s="41">
        <v>47861</v>
      </c>
      <c r="S19" s="41">
        <f t="shared" si="1"/>
        <v>2474</v>
      </c>
      <c r="T19" s="19" t="str">
        <f t="shared" si="2"/>
        <v>X</v>
      </c>
    </row>
    <row r="20" spans="1:20" ht="27.75" customHeight="1">
      <c r="A20" s="17">
        <v>18</v>
      </c>
      <c r="B20" s="14" t="s">
        <v>40</v>
      </c>
      <c r="C20" s="13" t="s">
        <v>182</v>
      </c>
      <c r="D20" s="1" t="s">
        <v>15</v>
      </c>
      <c r="E20" s="7">
        <v>100000</v>
      </c>
      <c r="F20" s="6">
        <v>3</v>
      </c>
      <c r="G20" s="12">
        <f t="shared" si="0"/>
        <v>300000</v>
      </c>
      <c r="H20" s="1" t="s">
        <v>292</v>
      </c>
      <c r="I20" s="1" t="s">
        <v>390</v>
      </c>
      <c r="J20" s="22">
        <v>145263</v>
      </c>
      <c r="K20" s="3">
        <f>600000-43172-88427-145263</f>
        <v>323138</v>
      </c>
      <c r="L20" s="174" t="s">
        <v>404</v>
      </c>
      <c r="M20" s="31" t="s">
        <v>540</v>
      </c>
      <c r="N20" s="112" t="s">
        <v>403</v>
      </c>
      <c r="O20" s="19" t="s">
        <v>126</v>
      </c>
      <c r="P20" s="34" t="s">
        <v>248</v>
      </c>
      <c r="Q20" s="41">
        <v>468401</v>
      </c>
      <c r="R20" s="41">
        <v>112886</v>
      </c>
      <c r="S20" s="41">
        <f t="shared" si="1"/>
        <v>355515</v>
      </c>
      <c r="T20" s="19" t="str">
        <f t="shared" si="2"/>
        <v>X</v>
      </c>
    </row>
    <row r="21" spans="1:20" ht="27.75" customHeight="1">
      <c r="A21" s="17">
        <v>19</v>
      </c>
      <c r="B21" s="14" t="s">
        <v>17</v>
      </c>
      <c r="C21" s="13" t="s">
        <v>306</v>
      </c>
      <c r="D21" s="1" t="s">
        <v>24</v>
      </c>
      <c r="E21" s="7">
        <v>100000</v>
      </c>
      <c r="F21" s="6">
        <v>1</v>
      </c>
      <c r="G21" s="12">
        <f t="shared" si="0"/>
        <v>100000</v>
      </c>
      <c r="H21" s="1" t="s">
        <v>307</v>
      </c>
      <c r="I21" s="1" t="s">
        <v>385</v>
      </c>
      <c r="J21" s="2">
        <v>0</v>
      </c>
      <c r="K21" s="3">
        <f>100000-18560-7812-15030-J21</f>
        <v>58598</v>
      </c>
      <c r="L21" s="93" t="s">
        <v>347</v>
      </c>
      <c r="M21" s="49" t="s">
        <v>75</v>
      </c>
      <c r="N21" s="64" t="s">
        <v>308</v>
      </c>
      <c r="O21" s="66" t="s">
        <v>313</v>
      </c>
      <c r="P21" s="169" t="s">
        <v>503</v>
      </c>
      <c r="Q21" s="41">
        <v>58598</v>
      </c>
      <c r="R21" s="41">
        <v>0</v>
      </c>
      <c r="S21" s="41">
        <f t="shared" si="1"/>
        <v>58598</v>
      </c>
      <c r="T21" s="19" t="str">
        <f t="shared" si="2"/>
        <v>O</v>
      </c>
    </row>
    <row r="22" spans="1:20" ht="27.75" customHeight="1">
      <c r="A22" s="17">
        <v>20</v>
      </c>
      <c r="B22" s="14" t="s">
        <v>17</v>
      </c>
      <c r="C22" s="13" t="s">
        <v>231</v>
      </c>
      <c r="D22" s="1" t="s">
        <v>24</v>
      </c>
      <c r="E22" s="7">
        <v>100000</v>
      </c>
      <c r="F22" s="6">
        <v>3</v>
      </c>
      <c r="G22" s="12">
        <f t="shared" si="0"/>
        <v>300000</v>
      </c>
      <c r="H22" s="1" t="s">
        <v>292</v>
      </c>
      <c r="I22" s="1" t="s">
        <v>437</v>
      </c>
      <c r="J22" s="2">
        <v>25813</v>
      </c>
      <c r="K22" s="3">
        <f>107380-196351+300000-12713-25813</f>
        <v>172503</v>
      </c>
      <c r="L22" s="144" t="s">
        <v>456</v>
      </c>
      <c r="M22" s="31" t="s">
        <v>537</v>
      </c>
      <c r="N22" s="145" t="s">
        <v>457</v>
      </c>
      <c r="O22" s="19" t="s">
        <v>166</v>
      </c>
      <c r="P22" s="19" t="s">
        <v>248</v>
      </c>
      <c r="Q22" s="41">
        <v>198316</v>
      </c>
      <c r="R22" s="41">
        <v>24584</v>
      </c>
      <c r="S22" s="41">
        <f t="shared" si="1"/>
        <v>173732</v>
      </c>
      <c r="T22" s="19" t="str">
        <f t="shared" si="2"/>
        <v>X</v>
      </c>
    </row>
    <row r="23" spans="1:20" ht="27.75" customHeight="1">
      <c r="A23" s="17">
        <v>21</v>
      </c>
      <c r="B23" s="14" t="s">
        <v>17</v>
      </c>
      <c r="C23" s="13" t="s">
        <v>232</v>
      </c>
      <c r="D23" s="1" t="s">
        <v>15</v>
      </c>
      <c r="E23" s="7">
        <v>200000</v>
      </c>
      <c r="F23" s="6">
        <v>6</v>
      </c>
      <c r="G23" s="12">
        <f>E23*F23</f>
        <v>1200000</v>
      </c>
      <c r="H23" s="1" t="s">
        <v>202</v>
      </c>
      <c r="I23" s="1" t="s">
        <v>292</v>
      </c>
      <c r="J23" s="2">
        <v>121368</v>
      </c>
      <c r="K23" s="3">
        <f>28769+200000*6-219109-241221-133770-68149-49980-138647-112619-121368</f>
        <v>143906</v>
      </c>
      <c r="L23" s="50" t="s">
        <v>291</v>
      </c>
      <c r="M23" s="31" t="s">
        <v>534</v>
      </c>
      <c r="N23" s="51" t="s">
        <v>293</v>
      </c>
      <c r="O23" s="19" t="s">
        <v>119</v>
      </c>
      <c r="P23" s="19" t="s">
        <v>246</v>
      </c>
      <c r="Q23" s="41">
        <v>265274</v>
      </c>
      <c r="R23" s="41">
        <v>85820</v>
      </c>
      <c r="S23" s="41">
        <f t="shared" si="1"/>
        <v>179454</v>
      </c>
      <c r="T23" s="19" t="str">
        <f t="shared" si="2"/>
        <v>X</v>
      </c>
    </row>
    <row r="24" spans="1:20" ht="27.75" customHeight="1">
      <c r="A24" s="17">
        <v>22</v>
      </c>
      <c r="B24" s="14" t="s">
        <v>17</v>
      </c>
      <c r="C24" s="13" t="s">
        <v>97</v>
      </c>
      <c r="D24" s="1" t="s">
        <v>24</v>
      </c>
      <c r="E24" s="7">
        <v>100000</v>
      </c>
      <c r="F24" s="6">
        <v>3</v>
      </c>
      <c r="G24" s="12">
        <f t="shared" si="0"/>
        <v>300000</v>
      </c>
      <c r="H24" s="1" t="s">
        <v>292</v>
      </c>
      <c r="I24" s="1" t="s">
        <v>437</v>
      </c>
      <c r="J24" s="2">
        <v>17514</v>
      </c>
      <c r="K24" s="3">
        <f>300000-106421-2575-17514</f>
        <v>173490</v>
      </c>
      <c r="L24" s="129" t="s">
        <v>435</v>
      </c>
      <c r="M24" s="31" t="s">
        <v>537</v>
      </c>
      <c r="N24" s="130" t="s">
        <v>436</v>
      </c>
      <c r="O24" s="19" t="s">
        <v>150</v>
      </c>
      <c r="P24" s="19" t="s">
        <v>246</v>
      </c>
      <c r="Q24" s="41">
        <v>191004</v>
      </c>
      <c r="R24" s="41">
        <v>1670</v>
      </c>
      <c r="S24" s="41">
        <f t="shared" si="1"/>
        <v>189334</v>
      </c>
      <c r="T24" s="19" t="str">
        <f t="shared" si="2"/>
        <v>X</v>
      </c>
    </row>
    <row r="25" spans="1:20" ht="27.75" customHeight="1">
      <c r="A25" s="17">
        <v>23</v>
      </c>
      <c r="B25" s="14" t="s">
        <v>17</v>
      </c>
      <c r="C25" s="13" t="s">
        <v>233</v>
      </c>
      <c r="D25" s="1" t="s">
        <v>24</v>
      </c>
      <c r="E25" s="7">
        <v>100000</v>
      </c>
      <c r="F25" s="6">
        <v>3</v>
      </c>
      <c r="G25" s="12">
        <f t="shared" si="0"/>
        <v>300000</v>
      </c>
      <c r="H25" s="87" t="s">
        <v>255</v>
      </c>
      <c r="I25" s="1" t="s">
        <v>279</v>
      </c>
      <c r="J25" s="2">
        <v>29755</v>
      </c>
      <c r="K25" s="3">
        <f>300000-91585-49449-41192-37800-50505-29755+286+300000</f>
        <v>300000</v>
      </c>
      <c r="L25" s="180" t="s">
        <v>531</v>
      </c>
      <c r="M25" s="31" t="s">
        <v>532</v>
      </c>
      <c r="N25" s="181" t="s">
        <v>533</v>
      </c>
      <c r="O25" s="19" t="s">
        <v>108</v>
      </c>
      <c r="P25" s="19" t="s">
        <v>248</v>
      </c>
      <c r="Q25" s="41">
        <v>29469</v>
      </c>
      <c r="R25" s="41">
        <v>28338</v>
      </c>
      <c r="S25" s="41">
        <f t="shared" si="1"/>
        <v>1131</v>
      </c>
      <c r="T25" s="19" t="str">
        <f t="shared" si="2"/>
        <v>X</v>
      </c>
    </row>
    <row r="26" spans="1:20" ht="27.75" customHeight="1">
      <c r="A26" s="17">
        <v>24</v>
      </c>
      <c r="B26" s="14" t="s">
        <v>17</v>
      </c>
      <c r="C26" s="13" t="s">
        <v>183</v>
      </c>
      <c r="D26" s="1" t="s">
        <v>16</v>
      </c>
      <c r="E26" s="7">
        <v>50000</v>
      </c>
      <c r="F26" s="6">
        <v>6</v>
      </c>
      <c r="G26" s="12">
        <f t="shared" si="0"/>
        <v>300000</v>
      </c>
      <c r="H26" s="1" t="s">
        <v>224</v>
      </c>
      <c r="I26" s="1" t="s">
        <v>225</v>
      </c>
      <c r="J26" s="2">
        <v>17212</v>
      </c>
      <c r="K26" s="3">
        <f>-6222+6222+300000-17616-11443-4599-4735-23895-15681-(-3024)-12367-4865-17212</f>
        <v>190611</v>
      </c>
      <c r="M26" s="31" t="s">
        <v>539</v>
      </c>
      <c r="N26" s="20" t="s">
        <v>223</v>
      </c>
      <c r="O26" s="19" t="s">
        <v>113</v>
      </c>
      <c r="P26" s="19" t="s">
        <v>248</v>
      </c>
      <c r="Q26" s="41">
        <v>207823</v>
      </c>
      <c r="R26" s="41">
        <v>17322</v>
      </c>
      <c r="S26" s="41">
        <f t="shared" si="1"/>
        <v>190501</v>
      </c>
      <c r="T26" s="19" t="str">
        <f t="shared" si="2"/>
        <v>X</v>
      </c>
    </row>
    <row r="27" spans="1:20" ht="27.75" customHeight="1">
      <c r="A27" s="17">
        <v>25</v>
      </c>
      <c r="B27" s="18" t="s">
        <v>44</v>
      </c>
      <c r="C27" s="8" t="s">
        <v>234</v>
      </c>
      <c r="D27" s="1" t="s">
        <v>16</v>
      </c>
      <c r="E27" s="7">
        <v>50000</v>
      </c>
      <c r="F27" s="6">
        <v>6</v>
      </c>
      <c r="G27" s="12">
        <f t="shared" si="0"/>
        <v>300000</v>
      </c>
      <c r="H27" s="1" t="s">
        <v>70</v>
      </c>
      <c r="I27" s="1" t="s">
        <v>74</v>
      </c>
      <c r="J27" s="2">
        <v>45423</v>
      </c>
      <c r="K27" s="3">
        <f>173+300000-45423</f>
        <v>254750</v>
      </c>
      <c r="L27" s="182" t="s">
        <v>535</v>
      </c>
      <c r="M27" s="31" t="s">
        <v>537</v>
      </c>
      <c r="N27" s="183" t="s">
        <v>538</v>
      </c>
      <c r="O27" s="19" t="s">
        <v>134</v>
      </c>
      <c r="P27" s="19" t="s">
        <v>247</v>
      </c>
      <c r="Q27" s="41">
        <v>173</v>
      </c>
      <c r="R27" s="41">
        <v>43260</v>
      </c>
      <c r="S27" s="41">
        <f t="shared" si="1"/>
        <v>-43087</v>
      </c>
      <c r="T27" s="19" t="str">
        <f t="shared" si="2"/>
        <v>X</v>
      </c>
    </row>
    <row r="28" spans="1:20" ht="27.75" customHeight="1">
      <c r="A28" s="17">
        <v>26</v>
      </c>
      <c r="B28" s="18" t="s">
        <v>44</v>
      </c>
      <c r="C28" s="8" t="s">
        <v>184</v>
      </c>
      <c r="D28" s="1" t="s">
        <v>15</v>
      </c>
      <c r="E28" s="7">
        <v>100000</v>
      </c>
      <c r="F28" s="6">
        <v>6</v>
      </c>
      <c r="G28" s="12">
        <f t="shared" si="0"/>
        <v>600000</v>
      </c>
      <c r="H28" s="1" t="s">
        <v>292</v>
      </c>
      <c r="I28" s="1" t="s">
        <v>437</v>
      </c>
      <c r="J28" s="2">
        <v>196025</v>
      </c>
      <c r="K28" s="3">
        <f>300000-117740-126125-196025+139890</f>
        <v>0</v>
      </c>
      <c r="L28" s="187" t="s">
        <v>541</v>
      </c>
      <c r="M28" s="31" t="s">
        <v>547</v>
      </c>
      <c r="N28" s="188" t="s">
        <v>548</v>
      </c>
      <c r="O28" s="19" t="s">
        <v>118</v>
      </c>
      <c r="P28" s="19" t="s">
        <v>248</v>
      </c>
      <c r="Q28" s="41">
        <v>56135</v>
      </c>
      <c r="R28" s="41">
        <v>170336</v>
      </c>
      <c r="S28" s="41">
        <f t="shared" si="1"/>
        <v>-114201</v>
      </c>
      <c r="T28" s="19" t="str">
        <f t="shared" si="2"/>
        <v>X</v>
      </c>
    </row>
    <row r="29" spans="1:20" ht="27.75" customHeight="1">
      <c r="A29" s="17">
        <v>27</v>
      </c>
      <c r="B29" s="18" t="s">
        <v>44</v>
      </c>
      <c r="C29" s="8" t="s">
        <v>95</v>
      </c>
      <c r="D29" s="1" t="s">
        <v>16</v>
      </c>
      <c r="E29" s="7">
        <v>50000</v>
      </c>
      <c r="F29" s="6">
        <v>5</v>
      </c>
      <c r="G29" s="12">
        <f t="shared" si="0"/>
        <v>250000</v>
      </c>
      <c r="H29" s="1" t="s">
        <v>12</v>
      </c>
      <c r="I29" s="1" t="s">
        <v>6</v>
      </c>
      <c r="J29" s="2">
        <v>47007</v>
      </c>
      <c r="K29" s="3">
        <f>0-J29</f>
        <v>-47007</v>
      </c>
      <c r="L29" s="94" t="s">
        <v>26</v>
      </c>
      <c r="M29" s="49" t="s">
        <v>75</v>
      </c>
      <c r="O29" s="19" t="s">
        <v>144</v>
      </c>
      <c r="P29" s="19" t="s">
        <v>248</v>
      </c>
      <c r="Q29" s="41">
        <v>0</v>
      </c>
      <c r="R29" s="41">
        <v>47007</v>
      </c>
      <c r="S29" s="41">
        <f t="shared" si="1"/>
        <v>-47007</v>
      </c>
      <c r="T29" s="19" t="str">
        <f t="shared" si="2"/>
        <v>O</v>
      </c>
    </row>
    <row r="30" spans="1:20" ht="27.75" customHeight="1">
      <c r="A30" s="17">
        <v>28</v>
      </c>
      <c r="B30" s="16" t="s">
        <v>45</v>
      </c>
      <c r="C30" s="9" t="s">
        <v>235</v>
      </c>
      <c r="D30" s="1" t="s">
        <v>24</v>
      </c>
      <c r="E30" s="7">
        <v>100000</v>
      </c>
      <c r="F30" s="6">
        <v>3</v>
      </c>
      <c r="G30" s="12">
        <f t="shared" si="0"/>
        <v>300000</v>
      </c>
      <c r="H30" s="89" t="s">
        <v>36</v>
      </c>
      <c r="I30" s="89" t="s">
        <v>37</v>
      </c>
      <c r="J30" s="2">
        <v>0</v>
      </c>
      <c r="K30" s="3">
        <f>300000-27106-7984+744-10032-5400-19720-15831+7454-480-9070-1350-34914-15040-2224-12250-25032-24935-1076-9907-12600-16065-479-9210-28726+300000-66654-10173-10735+851-19920+41-8484-11510-147-20475-788+394-7088-1663-3528-11059-(-4200)-J30</f>
        <v>152029</v>
      </c>
      <c r="M30" s="49" t="s">
        <v>75</v>
      </c>
      <c r="N30" s="93" t="s">
        <v>359</v>
      </c>
      <c r="O30" s="19" t="s">
        <v>174</v>
      </c>
      <c r="P30" s="19" t="s">
        <v>248</v>
      </c>
      <c r="Q30" s="41">
        <v>152029</v>
      </c>
      <c r="R30" s="41">
        <v>0</v>
      </c>
      <c r="S30" s="41">
        <f t="shared" si="1"/>
        <v>152029</v>
      </c>
      <c r="T30" s="19" t="str">
        <f t="shared" si="2"/>
        <v>O</v>
      </c>
    </row>
    <row r="31" spans="1:20" ht="27.75" customHeight="1">
      <c r="A31" s="17">
        <v>29</v>
      </c>
      <c r="B31" s="14" t="s">
        <v>40</v>
      </c>
      <c r="C31" s="13" t="s">
        <v>236</v>
      </c>
      <c r="D31" s="1" t="s">
        <v>25</v>
      </c>
      <c r="E31" s="7">
        <v>50000</v>
      </c>
      <c r="F31" s="6">
        <v>6</v>
      </c>
      <c r="G31" s="12">
        <f t="shared" si="0"/>
        <v>300000</v>
      </c>
      <c r="H31" s="87" t="s">
        <v>224</v>
      </c>
      <c r="I31" s="1" t="s">
        <v>255</v>
      </c>
      <c r="J31" s="2">
        <v>10340</v>
      </c>
      <c r="K31" s="3">
        <f>300000-66540-83542+82-69228+69228-(-5909)-11324-2168-(-1287)-6613-52332-72225-10340</f>
        <v>2194</v>
      </c>
      <c r="L31" s="93" t="s">
        <v>352</v>
      </c>
      <c r="M31" s="31" t="s">
        <v>537</v>
      </c>
      <c r="N31" s="46" t="s">
        <v>281</v>
      </c>
      <c r="O31" s="19" t="s">
        <v>109</v>
      </c>
      <c r="P31" s="19" t="s">
        <v>248</v>
      </c>
      <c r="Q31" s="41">
        <v>12534</v>
      </c>
      <c r="R31" s="41">
        <v>12250</v>
      </c>
      <c r="S31" s="41">
        <f t="shared" si="1"/>
        <v>284</v>
      </c>
      <c r="T31" s="19" t="str">
        <f t="shared" si="2"/>
        <v>X</v>
      </c>
    </row>
    <row r="32" spans="1:20" ht="27.75" customHeight="1">
      <c r="A32" s="17">
        <v>30</v>
      </c>
      <c r="B32" s="14" t="s">
        <v>40</v>
      </c>
      <c r="C32" s="13" t="s">
        <v>185</v>
      </c>
      <c r="D32" s="1" t="s">
        <v>25</v>
      </c>
      <c r="E32" s="7">
        <v>50000</v>
      </c>
      <c r="F32" s="6">
        <v>6</v>
      </c>
      <c r="G32" s="12">
        <f t="shared" si="0"/>
        <v>300000</v>
      </c>
      <c r="H32" s="1" t="s">
        <v>224</v>
      </c>
      <c r="I32" s="1" t="s">
        <v>258</v>
      </c>
      <c r="J32" s="2">
        <v>25032</v>
      </c>
      <c r="K32" s="3">
        <f>300000-18270-(-1691)-43065-(-6831)-2205-12285-23237-(-2132)-25032</f>
        <v>186560</v>
      </c>
      <c r="L32" s="93" t="s">
        <v>353</v>
      </c>
      <c r="M32" s="31" t="s">
        <v>537</v>
      </c>
      <c r="N32" s="19" t="s">
        <v>257</v>
      </c>
      <c r="O32" s="19" t="s">
        <v>165</v>
      </c>
      <c r="P32" s="19" t="s">
        <v>248</v>
      </c>
      <c r="Q32" s="41">
        <v>211490</v>
      </c>
      <c r="R32" s="41">
        <v>23840</v>
      </c>
      <c r="S32" s="41">
        <f t="shared" si="1"/>
        <v>187650</v>
      </c>
      <c r="T32" s="19" t="str">
        <f t="shared" si="2"/>
        <v>X</v>
      </c>
    </row>
    <row r="33" spans="1:20" ht="27.75" customHeight="1">
      <c r="A33" s="17">
        <v>31</v>
      </c>
      <c r="B33" s="30" t="s">
        <v>21</v>
      </c>
      <c r="C33" s="25" t="s">
        <v>237</v>
      </c>
      <c r="D33" s="1" t="s">
        <v>25</v>
      </c>
      <c r="E33" s="7">
        <v>50000</v>
      </c>
      <c r="F33" s="6">
        <v>6</v>
      </c>
      <c r="G33" s="12">
        <f t="shared" si="0"/>
        <v>300000</v>
      </c>
      <c r="H33" s="86" t="s">
        <v>78</v>
      </c>
      <c r="I33" s="86" t="s">
        <v>79</v>
      </c>
      <c r="J33" s="2">
        <v>22096</v>
      </c>
      <c r="K33" s="3">
        <f>300000-1575-11493-24695-24228-2628-2836-(-474)-84-30496-706-9307-20185-4373-22096</f>
        <v>145772</v>
      </c>
      <c r="M33" s="31" t="s">
        <v>537</v>
      </c>
      <c r="N33" s="171" t="s">
        <v>514</v>
      </c>
      <c r="O33" s="19" t="s">
        <v>114</v>
      </c>
      <c r="P33" s="169" t="s">
        <v>503</v>
      </c>
      <c r="Q33" s="41">
        <v>167868</v>
      </c>
      <c r="R33" s="41">
        <v>20866</v>
      </c>
      <c r="S33" s="41">
        <f t="shared" si="1"/>
        <v>147002</v>
      </c>
      <c r="T33" s="19" t="str">
        <f t="shared" si="2"/>
        <v>X</v>
      </c>
    </row>
    <row r="34" spans="1:20" ht="27.75" customHeight="1">
      <c r="A34" s="17">
        <v>32</v>
      </c>
      <c r="B34" s="14" t="s">
        <v>40</v>
      </c>
      <c r="C34" s="13" t="s">
        <v>238</v>
      </c>
      <c r="D34" s="1" t="s">
        <v>24</v>
      </c>
      <c r="E34" s="7">
        <v>300000</v>
      </c>
      <c r="F34" s="6">
        <v>1</v>
      </c>
      <c r="G34" s="12">
        <f t="shared" si="0"/>
        <v>300000</v>
      </c>
      <c r="H34" s="1" t="s">
        <v>269</v>
      </c>
      <c r="I34" s="1" t="s">
        <v>300</v>
      </c>
      <c r="J34" s="2">
        <v>-942</v>
      </c>
      <c r="K34" s="3">
        <f>300000-14112-19950-14213-(-2205)-110143-101388-(-68397)-66035-49812+5828-26796+300000-13064-(-4148)-(-942)</f>
        <v>266007</v>
      </c>
      <c r="L34" s="129" t="s">
        <v>435</v>
      </c>
      <c r="M34" s="31" t="s">
        <v>537</v>
      </c>
      <c r="N34" s="130" t="s">
        <v>439</v>
      </c>
      <c r="O34" s="19" t="s">
        <v>110</v>
      </c>
      <c r="P34" s="19" t="s">
        <v>248</v>
      </c>
      <c r="Q34" s="41">
        <v>265065</v>
      </c>
      <c r="R34" s="41">
        <v>72</v>
      </c>
      <c r="S34" s="41">
        <f t="shared" si="1"/>
        <v>264993</v>
      </c>
      <c r="T34" s="19" t="str">
        <f t="shared" si="2"/>
        <v>X</v>
      </c>
    </row>
    <row r="35" spans="1:20" ht="27.75" customHeight="1">
      <c r="A35" s="17">
        <v>33</v>
      </c>
      <c r="B35" s="30" t="s">
        <v>21</v>
      </c>
      <c r="C35" s="25" t="s">
        <v>80</v>
      </c>
      <c r="D35" s="1" t="s">
        <v>25</v>
      </c>
      <c r="E35" s="7">
        <v>100000</v>
      </c>
      <c r="F35" s="6">
        <v>1</v>
      </c>
      <c r="G35" s="12">
        <f t="shared" si="0"/>
        <v>100000</v>
      </c>
      <c r="H35" s="86" t="s">
        <v>67</v>
      </c>
      <c r="I35" s="86" t="s">
        <v>71</v>
      </c>
      <c r="J35" s="2">
        <v>-10029</v>
      </c>
      <c r="K35" s="3">
        <f>300000-7054+7054-1793+620-9782-10197-580-3455-540-292-20540-15330-5712-55692-49140-(-10029)</f>
        <v>137596</v>
      </c>
      <c r="M35" s="31" t="s">
        <v>537</v>
      </c>
      <c r="N35" s="176" t="s">
        <v>515</v>
      </c>
      <c r="O35" s="19" t="s">
        <v>167</v>
      </c>
      <c r="P35" s="19" t="s">
        <v>248</v>
      </c>
      <c r="Q35" s="41">
        <v>127567</v>
      </c>
      <c r="R35" s="41">
        <v>-9672</v>
      </c>
      <c r="S35" s="41">
        <f t="shared" si="1"/>
        <v>137239</v>
      </c>
      <c r="T35" s="19" t="str">
        <f t="shared" si="2"/>
        <v>X</v>
      </c>
    </row>
    <row r="36" spans="1:20" ht="27.75" customHeight="1">
      <c r="A36" s="17">
        <v>34</v>
      </c>
      <c r="B36" s="18" t="s">
        <v>44</v>
      </c>
      <c r="C36" s="8" t="s">
        <v>239</v>
      </c>
      <c r="D36" s="1" t="s">
        <v>24</v>
      </c>
      <c r="E36" s="7">
        <v>100000</v>
      </c>
      <c r="F36" s="6">
        <v>3</v>
      </c>
      <c r="G36" s="12">
        <f t="shared" si="0"/>
        <v>300000</v>
      </c>
      <c r="H36" s="87" t="s">
        <v>382</v>
      </c>
      <c r="I36" s="1" t="s">
        <v>383</v>
      </c>
      <c r="J36" s="2">
        <v>181766</v>
      </c>
      <c r="K36" s="3">
        <f>300000-85279-24730-25229-127051-181766</f>
        <v>-144055</v>
      </c>
      <c r="L36" s="94" t="s">
        <v>26</v>
      </c>
      <c r="M36" s="31"/>
      <c r="N36" s="102" t="s">
        <v>376</v>
      </c>
      <c r="O36" s="19" t="s">
        <v>123</v>
      </c>
      <c r="P36" s="19" t="s">
        <v>248</v>
      </c>
      <c r="Q36" s="41">
        <v>37711</v>
      </c>
      <c r="R36" s="41">
        <v>74658</v>
      </c>
      <c r="S36" s="41">
        <f t="shared" si="1"/>
        <v>-36947</v>
      </c>
      <c r="T36" s="19" t="str">
        <f t="shared" si="2"/>
        <v>X</v>
      </c>
    </row>
    <row r="37" spans="1:20" ht="27.75" customHeight="1">
      <c r="A37" s="17">
        <v>35</v>
      </c>
      <c r="B37" s="14" t="s">
        <v>40</v>
      </c>
      <c r="C37" s="13" t="s">
        <v>193</v>
      </c>
      <c r="D37" s="1" t="s">
        <v>25</v>
      </c>
      <c r="E37" s="7">
        <v>50000</v>
      </c>
      <c r="F37" s="6">
        <v>6</v>
      </c>
      <c r="G37" s="12">
        <f t="shared" si="0"/>
        <v>300000</v>
      </c>
      <c r="H37" s="87" t="s">
        <v>300</v>
      </c>
      <c r="I37" s="1" t="s">
        <v>454</v>
      </c>
      <c r="J37" s="2">
        <v>48098</v>
      </c>
      <c r="K37" s="3">
        <f>300000-48098</f>
        <v>251902</v>
      </c>
      <c r="L37" s="136" t="s">
        <v>447</v>
      </c>
      <c r="M37" s="31" t="s">
        <v>537</v>
      </c>
      <c r="N37" s="153" t="s">
        <v>446</v>
      </c>
      <c r="O37" s="19" t="s">
        <v>186</v>
      </c>
      <c r="P37" s="19" t="s">
        <v>247</v>
      </c>
      <c r="Q37" s="41">
        <v>293700</v>
      </c>
      <c r="R37" s="41">
        <v>39508</v>
      </c>
      <c r="S37" s="41">
        <f t="shared" si="1"/>
        <v>254192</v>
      </c>
      <c r="T37" s="19" t="str">
        <f t="shared" si="2"/>
        <v>X</v>
      </c>
    </row>
    <row r="38" spans="1:20" ht="27.75" customHeight="1">
      <c r="A38" s="17">
        <v>36</v>
      </c>
      <c r="B38" s="30" t="s">
        <v>21</v>
      </c>
      <c r="C38" s="25" t="s">
        <v>240</v>
      </c>
      <c r="D38" s="1" t="s">
        <v>25</v>
      </c>
      <c r="E38" s="7">
        <v>50000</v>
      </c>
      <c r="F38" s="6">
        <v>6</v>
      </c>
      <c r="G38" s="12">
        <f t="shared" si="0"/>
        <v>300000</v>
      </c>
      <c r="H38" s="92" t="s">
        <v>66</v>
      </c>
      <c r="I38" s="86" t="s">
        <v>77</v>
      </c>
      <c r="J38" s="2">
        <v>1734</v>
      </c>
      <c r="K38" s="3">
        <f>300000-42601-26251-5663+1760-3512-5670-0-16905-J38</f>
        <v>199424</v>
      </c>
      <c r="M38" s="49" t="s">
        <v>75</v>
      </c>
      <c r="N38" s="146" t="s">
        <v>461</v>
      </c>
      <c r="O38" s="19" t="s">
        <v>111</v>
      </c>
      <c r="P38" s="19" t="s">
        <v>248</v>
      </c>
      <c r="Q38" s="41">
        <v>201158</v>
      </c>
      <c r="R38" s="41">
        <v>1734</v>
      </c>
      <c r="S38" s="41">
        <f t="shared" si="1"/>
        <v>199424</v>
      </c>
      <c r="T38" s="19" t="str">
        <f t="shared" si="2"/>
        <v>O</v>
      </c>
    </row>
    <row r="39" spans="1:20" ht="27.75" customHeight="1">
      <c r="A39" s="17">
        <v>37</v>
      </c>
      <c r="B39" s="14" t="s">
        <v>17</v>
      </c>
      <c r="C39" s="13" t="s">
        <v>43</v>
      </c>
      <c r="D39" s="1" t="s">
        <v>24</v>
      </c>
      <c r="E39" s="7">
        <v>100000</v>
      </c>
      <c r="F39" s="6">
        <v>3</v>
      </c>
      <c r="G39" s="12">
        <f t="shared" si="0"/>
        <v>300000</v>
      </c>
      <c r="H39" s="87" t="s">
        <v>255</v>
      </c>
      <c r="I39" s="1" t="s">
        <v>279</v>
      </c>
      <c r="J39" s="2">
        <v>45804</v>
      </c>
      <c r="K39" s="3">
        <f>24327-35349+311022-2940-18543-(-261)-22981-45804</f>
        <v>209993</v>
      </c>
      <c r="L39" s="93" t="s">
        <v>354</v>
      </c>
      <c r="M39" s="31" t="s">
        <v>537</v>
      </c>
      <c r="N39" s="19" t="s">
        <v>212</v>
      </c>
      <c r="O39" s="19" t="s">
        <v>112</v>
      </c>
      <c r="P39" s="19" t="s">
        <v>248</v>
      </c>
      <c r="Q39" s="41">
        <v>255797</v>
      </c>
      <c r="R39" s="41">
        <v>46430</v>
      </c>
      <c r="S39" s="41">
        <f t="shared" si="1"/>
        <v>209367</v>
      </c>
      <c r="T39" s="19" t="str">
        <f t="shared" si="2"/>
        <v>X</v>
      </c>
    </row>
    <row r="40" spans="1:20" ht="27.75" customHeight="1">
      <c r="A40" s="17">
        <v>38</v>
      </c>
      <c r="B40" s="18" t="s">
        <v>93</v>
      </c>
      <c r="C40" s="8" t="s">
        <v>59</v>
      </c>
      <c r="D40" s="1" t="s">
        <v>60</v>
      </c>
      <c r="E40" s="7">
        <v>30000</v>
      </c>
      <c r="F40" s="6">
        <v>3</v>
      </c>
      <c r="G40" s="12">
        <f t="shared" si="0"/>
        <v>90000</v>
      </c>
      <c r="H40" s="87" t="s">
        <v>49</v>
      </c>
      <c r="I40" s="87" t="s">
        <v>58</v>
      </c>
      <c r="J40" s="2">
        <v>20175</v>
      </c>
      <c r="K40" s="3">
        <f>50000*3-20175</f>
        <v>129825</v>
      </c>
      <c r="L40" s="185" t="s">
        <v>541</v>
      </c>
      <c r="M40" s="31" t="s">
        <v>540</v>
      </c>
      <c r="N40" s="184" t="s">
        <v>542</v>
      </c>
      <c r="O40" s="19" t="s">
        <v>133</v>
      </c>
      <c r="P40" s="19" t="s">
        <v>247</v>
      </c>
      <c r="Q40" s="41">
        <v>0</v>
      </c>
      <c r="R40" s="41">
        <v>19214</v>
      </c>
      <c r="S40" s="41">
        <f t="shared" si="1"/>
        <v>-19214</v>
      </c>
      <c r="T40" s="19" t="str">
        <f t="shared" si="2"/>
        <v>X</v>
      </c>
    </row>
    <row r="41" spans="1:20" ht="27.75" customHeight="1">
      <c r="A41" s="17">
        <v>39</v>
      </c>
      <c r="B41" s="18" t="s">
        <v>93</v>
      </c>
      <c r="C41" s="8" t="s">
        <v>41</v>
      </c>
      <c r="D41" s="1" t="s">
        <v>24</v>
      </c>
      <c r="E41" s="7">
        <v>100000</v>
      </c>
      <c r="F41" s="6">
        <v>3</v>
      </c>
      <c r="G41" s="12">
        <v>300000</v>
      </c>
      <c r="H41" s="87" t="s">
        <v>200</v>
      </c>
      <c r="I41" s="87" t="s">
        <v>200</v>
      </c>
      <c r="J41" s="2">
        <v>458858</v>
      </c>
      <c r="K41" s="3">
        <v>0</v>
      </c>
      <c r="L41" s="94" t="s">
        <v>26</v>
      </c>
      <c r="M41" s="31" t="s">
        <v>547</v>
      </c>
      <c r="N41" s="19" t="s">
        <v>197</v>
      </c>
      <c r="O41" s="19" t="s">
        <v>125</v>
      </c>
      <c r="P41" s="19" t="s">
        <v>246</v>
      </c>
      <c r="Q41" s="41">
        <v>-4424</v>
      </c>
      <c r="R41" s="41">
        <v>457248</v>
      </c>
      <c r="S41" s="41">
        <f t="shared" si="1"/>
        <v>-461672</v>
      </c>
      <c r="T41" s="19" t="str">
        <f t="shared" si="2"/>
        <v>X</v>
      </c>
    </row>
    <row r="42" spans="1:20" ht="27.75" customHeight="1">
      <c r="A42" s="17">
        <v>40</v>
      </c>
      <c r="B42" s="14" t="s">
        <v>17</v>
      </c>
      <c r="C42" s="13" t="s">
        <v>98</v>
      </c>
      <c r="D42" s="1" t="s">
        <v>25</v>
      </c>
      <c r="E42" s="7">
        <v>50000</v>
      </c>
      <c r="F42" s="6">
        <v>6</v>
      </c>
      <c r="G42" s="12">
        <f t="shared" si="0"/>
        <v>300000</v>
      </c>
      <c r="H42" s="1" t="s">
        <v>202</v>
      </c>
      <c r="I42" s="1" t="s">
        <v>300</v>
      </c>
      <c r="J42" s="2">
        <v>41622</v>
      </c>
      <c r="K42" s="3">
        <f>42670+309800-102470-54520+4520-45003-122269+71544-4272-4410-11078-41622</f>
        <v>42890</v>
      </c>
      <c r="L42" s="59" t="s">
        <v>301</v>
      </c>
      <c r="M42" s="31" t="s">
        <v>537</v>
      </c>
      <c r="N42" s="61" t="s">
        <v>304</v>
      </c>
      <c r="O42" s="19" t="s">
        <v>139</v>
      </c>
      <c r="P42" s="169" t="s">
        <v>312</v>
      </c>
      <c r="Q42" s="41">
        <v>84512</v>
      </c>
      <c r="R42" s="41">
        <v>8000</v>
      </c>
      <c r="S42" s="41">
        <f t="shared" si="1"/>
        <v>76512</v>
      </c>
      <c r="T42" s="19" t="str">
        <f t="shared" si="2"/>
        <v>X</v>
      </c>
    </row>
    <row r="43" spans="1:20" ht="27.75" customHeight="1">
      <c r="A43" s="17">
        <v>41</v>
      </c>
      <c r="B43" s="14" t="s">
        <v>40</v>
      </c>
      <c r="C43" s="13" t="s">
        <v>241</v>
      </c>
      <c r="D43" s="1" t="s">
        <v>25</v>
      </c>
      <c r="E43" s="7">
        <v>50000</v>
      </c>
      <c r="F43" s="6">
        <v>6</v>
      </c>
      <c r="G43" s="12">
        <f t="shared" si="0"/>
        <v>300000</v>
      </c>
      <c r="H43" s="1" t="s">
        <v>138</v>
      </c>
      <c r="I43" s="1" t="s">
        <v>279</v>
      </c>
      <c r="J43" s="2">
        <v>1386</v>
      </c>
      <c r="K43" s="3">
        <f>300000-29215-14931-13608-(-2132)-12474-13684-5273-1386</f>
        <v>211561</v>
      </c>
      <c r="L43" s="93" t="s">
        <v>355</v>
      </c>
      <c r="M43" s="31" t="s">
        <v>539</v>
      </c>
      <c r="N43" s="45" t="s">
        <v>280</v>
      </c>
      <c r="O43" s="19" t="s">
        <v>128</v>
      </c>
      <c r="P43" s="19" t="s">
        <v>247</v>
      </c>
      <c r="Q43" s="41">
        <v>212947</v>
      </c>
      <c r="R43" s="41">
        <v>600</v>
      </c>
      <c r="S43" s="41">
        <f t="shared" si="1"/>
        <v>212347</v>
      </c>
      <c r="T43" s="19" t="str">
        <f t="shared" si="2"/>
        <v>X</v>
      </c>
    </row>
    <row r="44" spans="1:20" ht="27.75" customHeight="1">
      <c r="A44" s="17">
        <v>42</v>
      </c>
      <c r="B44" s="14" t="s">
        <v>40</v>
      </c>
      <c r="C44" s="13" t="s">
        <v>242</v>
      </c>
      <c r="D44" s="1" t="s">
        <v>16</v>
      </c>
      <c r="E44" s="7">
        <v>50000</v>
      </c>
      <c r="F44" s="6">
        <v>6</v>
      </c>
      <c r="G44" s="12">
        <f t="shared" si="0"/>
        <v>300000</v>
      </c>
      <c r="H44" s="1" t="s">
        <v>218</v>
      </c>
      <c r="I44" s="91" t="s">
        <v>300</v>
      </c>
      <c r="J44" s="2">
        <v>33149</v>
      </c>
      <c r="K44" s="3">
        <f>17792+300000-24147-114611+20966-(-7909)-90048-13031-(-1409)-33149</f>
        <v>73090</v>
      </c>
      <c r="L44" s="93" t="s">
        <v>347</v>
      </c>
      <c r="M44" s="31" t="s">
        <v>539</v>
      </c>
      <c r="N44" s="52" t="s">
        <v>295</v>
      </c>
      <c r="O44" s="19" t="s">
        <v>129</v>
      </c>
      <c r="P44" s="19" t="s">
        <v>247</v>
      </c>
      <c r="Q44" s="41">
        <v>106239</v>
      </c>
      <c r="R44" s="41">
        <v>3300</v>
      </c>
      <c r="S44" s="41">
        <f t="shared" si="1"/>
        <v>102939</v>
      </c>
      <c r="T44" s="19" t="str">
        <f t="shared" si="2"/>
        <v>X</v>
      </c>
    </row>
    <row r="45" spans="1:20" ht="27.75" customHeight="1">
      <c r="A45" s="17">
        <v>43</v>
      </c>
      <c r="B45" s="14" t="s">
        <v>17</v>
      </c>
      <c r="C45" s="13" t="s">
        <v>89</v>
      </c>
      <c r="D45" s="1" t="s">
        <v>24</v>
      </c>
      <c r="E45" s="7">
        <v>100000</v>
      </c>
      <c r="F45" s="6">
        <v>3</v>
      </c>
      <c r="G45" s="12">
        <f t="shared" si="0"/>
        <v>300000</v>
      </c>
      <c r="H45" s="1" t="s">
        <v>138</v>
      </c>
      <c r="I45" s="91" t="s">
        <v>218</v>
      </c>
      <c r="J45" s="2">
        <v>55913</v>
      </c>
      <c r="K45" s="3">
        <f>300000-30131-12413-70480-68455-56711-4628-61530+4340+8-33706+300000-32576-32389-13701-6897-34767-18715-55913</f>
        <v>71336</v>
      </c>
      <c r="L45" s="44" t="s">
        <v>276</v>
      </c>
      <c r="M45" s="31" t="s">
        <v>537</v>
      </c>
      <c r="N45" s="44" t="s">
        <v>277</v>
      </c>
      <c r="O45" s="19" t="s">
        <v>145</v>
      </c>
      <c r="P45" s="19" t="s">
        <v>248</v>
      </c>
      <c r="Q45" s="41">
        <v>127249</v>
      </c>
      <c r="R45" s="41">
        <v>52156</v>
      </c>
      <c r="S45" s="41">
        <f t="shared" si="1"/>
        <v>75093</v>
      </c>
      <c r="T45" s="19" t="str">
        <f t="shared" si="2"/>
        <v>X</v>
      </c>
    </row>
    <row r="46" spans="1:20" ht="27.75" customHeight="1">
      <c r="A46" s="17">
        <v>44</v>
      </c>
      <c r="B46" s="14" t="s">
        <v>17</v>
      </c>
      <c r="C46" s="13" t="s">
        <v>228</v>
      </c>
      <c r="D46" s="1" t="s">
        <v>24</v>
      </c>
      <c r="E46" s="7">
        <v>100000</v>
      </c>
      <c r="F46" s="6">
        <v>3</v>
      </c>
      <c r="G46" s="12">
        <f t="shared" si="0"/>
        <v>300000</v>
      </c>
      <c r="H46" s="87" t="s">
        <v>255</v>
      </c>
      <c r="I46" s="1" t="s">
        <v>292</v>
      </c>
      <c r="J46" s="2">
        <v>55293</v>
      </c>
      <c r="K46" s="3">
        <f>7504+338800-146304-44578-5823-31387-(-6697)-55293</f>
        <v>69616</v>
      </c>
      <c r="L46" s="93" t="s">
        <v>356</v>
      </c>
      <c r="M46" s="31" t="s">
        <v>544</v>
      </c>
      <c r="N46" s="75" t="s">
        <v>326</v>
      </c>
      <c r="O46" s="19" t="s">
        <v>116</v>
      </c>
      <c r="P46" s="169" t="s">
        <v>504</v>
      </c>
      <c r="Q46" s="41">
        <v>124909</v>
      </c>
      <c r="R46" s="41">
        <v>52660</v>
      </c>
      <c r="S46" s="41">
        <f t="shared" si="1"/>
        <v>72249</v>
      </c>
      <c r="T46" s="19" t="str">
        <f t="shared" si="2"/>
        <v>X</v>
      </c>
    </row>
    <row r="47" spans="1:20" ht="27.75" customHeight="1">
      <c r="A47" s="17">
        <v>45</v>
      </c>
      <c r="B47" s="14" t="s">
        <v>40</v>
      </c>
      <c r="C47" s="13" t="s">
        <v>54</v>
      </c>
      <c r="D47" s="1" t="s">
        <v>25</v>
      </c>
      <c r="E47" s="7">
        <v>50000</v>
      </c>
      <c r="F47" s="6">
        <v>6</v>
      </c>
      <c r="G47" s="12">
        <f t="shared" si="0"/>
        <v>300000</v>
      </c>
      <c r="H47" s="1" t="s">
        <v>202</v>
      </c>
      <c r="I47" s="91" t="s">
        <v>300</v>
      </c>
      <c r="J47" s="2">
        <v>39927</v>
      </c>
      <c r="K47" s="3">
        <f>300000-55884+5884-25011-30020-7310-67773-37227-39927</f>
        <v>42732</v>
      </c>
      <c r="L47" s="47" t="s">
        <v>284</v>
      </c>
      <c r="M47" s="31" t="s">
        <v>539</v>
      </c>
      <c r="N47" s="47" t="s">
        <v>285</v>
      </c>
      <c r="O47" s="19" t="s">
        <v>130</v>
      </c>
      <c r="P47" s="19" t="s">
        <v>247</v>
      </c>
      <c r="Q47" s="41">
        <v>82659</v>
      </c>
      <c r="R47" s="41">
        <v>24087</v>
      </c>
      <c r="S47" s="41">
        <f t="shared" si="1"/>
        <v>58572</v>
      </c>
      <c r="T47" s="19" t="str">
        <f t="shared" si="2"/>
        <v>X</v>
      </c>
    </row>
    <row r="48" spans="1:20" ht="27.75" customHeight="1">
      <c r="A48" s="17">
        <v>46</v>
      </c>
      <c r="B48" s="14" t="s">
        <v>40</v>
      </c>
      <c r="C48" s="13" t="s">
        <v>449</v>
      </c>
      <c r="D48" s="1" t="s">
        <v>25</v>
      </c>
      <c r="E48" s="7">
        <v>30000</v>
      </c>
      <c r="F48" s="6">
        <v>3</v>
      </c>
      <c r="G48" s="12">
        <f t="shared" si="0"/>
        <v>90000</v>
      </c>
      <c r="H48" s="1" t="s">
        <v>279</v>
      </c>
      <c r="I48" s="91" t="s">
        <v>300</v>
      </c>
      <c r="J48" s="2">
        <v>-6123</v>
      </c>
      <c r="K48" s="3">
        <f>120328-60328-1950-21242-(-6123)</f>
        <v>42931</v>
      </c>
      <c r="L48" s="136" t="s">
        <v>450</v>
      </c>
      <c r="M48" s="31" t="s">
        <v>539</v>
      </c>
      <c r="N48" s="178" t="s">
        <v>529</v>
      </c>
      <c r="O48" s="147" t="s">
        <v>462</v>
      </c>
      <c r="P48" s="19" t="s">
        <v>247</v>
      </c>
      <c r="Q48" s="41">
        <v>36808</v>
      </c>
      <c r="R48" s="41">
        <v>-5831</v>
      </c>
      <c r="S48" s="41">
        <f t="shared" si="1"/>
        <v>42639</v>
      </c>
      <c r="T48" s="19" t="str">
        <f t="shared" si="2"/>
        <v>X</v>
      </c>
    </row>
    <row r="49" spans="1:20" ht="27.75" customHeight="1">
      <c r="A49" s="17">
        <v>47</v>
      </c>
      <c r="B49" s="30" t="s">
        <v>21</v>
      </c>
      <c r="C49" s="25" t="s">
        <v>48</v>
      </c>
      <c r="D49" s="1" t="s">
        <v>25</v>
      </c>
      <c r="E49" s="7">
        <v>100000</v>
      </c>
      <c r="F49" s="6">
        <v>1</v>
      </c>
      <c r="G49" s="12">
        <f t="shared" si="0"/>
        <v>100000</v>
      </c>
      <c r="H49" s="86" t="s">
        <v>140</v>
      </c>
      <c r="I49" s="96" t="s">
        <v>90</v>
      </c>
      <c r="J49" s="2">
        <v>4148</v>
      </c>
      <c r="K49" s="3">
        <f>11922-97770+300000+3839-(-1302)-(-63)-5775-2068-21000-5204-2982-3331-987-(-118)-6059-3000-4148</f>
        <v>164920</v>
      </c>
      <c r="M49" s="31" t="s">
        <v>539</v>
      </c>
      <c r="N49" s="171" t="s">
        <v>516</v>
      </c>
      <c r="O49" s="19" t="s">
        <v>142</v>
      </c>
      <c r="P49" s="169" t="s">
        <v>504</v>
      </c>
      <c r="Q49" s="41">
        <v>169068</v>
      </c>
      <c r="R49" s="41">
        <v>950</v>
      </c>
      <c r="S49" s="41">
        <f t="shared" si="1"/>
        <v>168118</v>
      </c>
      <c r="T49" s="19" t="str">
        <f t="shared" si="2"/>
        <v>X</v>
      </c>
    </row>
    <row r="50" spans="1:20" ht="27.75" customHeight="1">
      <c r="A50" s="17">
        <v>48</v>
      </c>
      <c r="B50" s="14" t="s">
        <v>17</v>
      </c>
      <c r="C50" s="13" t="s">
        <v>53</v>
      </c>
      <c r="D50" s="1" t="s">
        <v>25</v>
      </c>
      <c r="E50" s="7">
        <v>30000</v>
      </c>
      <c r="F50" s="6">
        <v>3</v>
      </c>
      <c r="G50" s="12">
        <f t="shared" si="0"/>
        <v>90000</v>
      </c>
      <c r="H50" s="87" t="s">
        <v>88</v>
      </c>
      <c r="I50" s="1" t="s">
        <v>202</v>
      </c>
      <c r="J50" s="2">
        <v>15910</v>
      </c>
      <c r="K50" s="3">
        <f>18100+300000-59068-22470-(-4620)-41839-55199-4431-(-1149)-5922-9143-15910</f>
        <v>109887</v>
      </c>
      <c r="L50" s="19" t="s">
        <v>265</v>
      </c>
      <c r="M50" s="31"/>
      <c r="N50" s="19" t="s">
        <v>266</v>
      </c>
      <c r="O50" s="19" t="s">
        <v>158</v>
      </c>
      <c r="P50" s="19" t="s">
        <v>247</v>
      </c>
      <c r="Q50" s="41">
        <v>125797</v>
      </c>
      <c r="R50" s="41">
        <v>9152</v>
      </c>
      <c r="S50" s="41">
        <f t="shared" si="1"/>
        <v>116645</v>
      </c>
      <c r="T50" s="19" t="str">
        <f t="shared" si="2"/>
        <v>X</v>
      </c>
    </row>
    <row r="51" spans="1:20" ht="27.75" customHeight="1">
      <c r="A51" s="17">
        <v>49</v>
      </c>
      <c r="B51" s="14" t="s">
        <v>40</v>
      </c>
      <c r="C51" s="13" t="s">
        <v>207</v>
      </c>
      <c r="D51" s="1" t="s">
        <v>24</v>
      </c>
      <c r="E51" s="7">
        <v>100000</v>
      </c>
      <c r="F51" s="6">
        <v>3</v>
      </c>
      <c r="G51" s="12">
        <f t="shared" si="0"/>
        <v>300000</v>
      </c>
      <c r="H51" s="87" t="s">
        <v>279</v>
      </c>
      <c r="I51" s="87" t="s">
        <v>300</v>
      </c>
      <c r="J51" s="2">
        <v>12029</v>
      </c>
      <c r="K51" s="3">
        <f>19655-225462+205807+200000-(-6042)-15361-12029</f>
        <v>178652</v>
      </c>
      <c r="L51" s="129" t="s">
        <v>440</v>
      </c>
      <c r="M51" s="31" t="s">
        <v>540</v>
      </c>
      <c r="N51" s="129" t="s">
        <v>441</v>
      </c>
      <c r="O51" s="19" t="s">
        <v>117</v>
      </c>
      <c r="P51" s="169" t="s">
        <v>312</v>
      </c>
      <c r="Q51" s="41">
        <v>190681</v>
      </c>
      <c r="R51" s="41">
        <v>11456</v>
      </c>
      <c r="S51" s="41">
        <f t="shared" si="1"/>
        <v>179225</v>
      </c>
      <c r="T51" s="19" t="str">
        <f t="shared" si="2"/>
        <v>X</v>
      </c>
    </row>
    <row r="52" spans="1:20" ht="27.75" customHeight="1">
      <c r="A52" s="17">
        <v>50</v>
      </c>
      <c r="B52" s="14" t="s">
        <v>17</v>
      </c>
      <c r="C52" s="13" t="s">
        <v>42</v>
      </c>
      <c r="D52" s="1" t="s">
        <v>24</v>
      </c>
      <c r="E52" s="7">
        <v>100000</v>
      </c>
      <c r="F52" s="6">
        <v>3</v>
      </c>
      <c r="G52" s="12">
        <f t="shared" si="0"/>
        <v>300000</v>
      </c>
      <c r="H52" s="166" t="s">
        <v>300</v>
      </c>
      <c r="I52" s="166" t="s">
        <v>454</v>
      </c>
      <c r="J52" s="2">
        <v>84502</v>
      </c>
      <c r="K52" s="3">
        <f>9547+50000*6-21851-84502</f>
        <v>203194</v>
      </c>
      <c r="L52" s="172" t="s">
        <v>493</v>
      </c>
      <c r="M52" s="31" t="s">
        <v>540</v>
      </c>
      <c r="N52" s="161" t="s">
        <v>492</v>
      </c>
      <c r="O52" s="19" t="s">
        <v>159</v>
      </c>
      <c r="P52" s="19" t="s">
        <v>247</v>
      </c>
      <c r="Q52" s="41">
        <v>287696</v>
      </c>
      <c r="R52" s="41">
        <v>88838</v>
      </c>
      <c r="S52" s="41">
        <f t="shared" si="1"/>
        <v>198858</v>
      </c>
      <c r="T52" s="19" t="str">
        <f t="shared" si="2"/>
        <v>X</v>
      </c>
    </row>
    <row r="53" spans="1:20" ht="27.75" customHeight="1">
      <c r="A53" s="17">
        <v>51</v>
      </c>
      <c r="B53" s="14" t="s">
        <v>17</v>
      </c>
      <c r="C53" s="13" t="s">
        <v>81</v>
      </c>
      <c r="D53" s="1" t="s">
        <v>24</v>
      </c>
      <c r="E53" s="7">
        <v>100000</v>
      </c>
      <c r="F53" s="6">
        <v>3</v>
      </c>
      <c r="G53" s="12">
        <f t="shared" si="0"/>
        <v>300000</v>
      </c>
      <c r="H53" s="1" t="s">
        <v>33</v>
      </c>
      <c r="I53" s="1" t="s">
        <v>35</v>
      </c>
      <c r="J53" s="2">
        <v>2812</v>
      </c>
      <c r="K53" s="3">
        <f>2943+300000-16905-10332-2812</f>
        <v>272894</v>
      </c>
      <c r="L53" s="149" t="s">
        <v>469</v>
      </c>
      <c r="M53" s="31" t="s">
        <v>539</v>
      </c>
      <c r="N53" s="149" t="s">
        <v>470</v>
      </c>
      <c r="O53" s="19" t="s">
        <v>160</v>
      </c>
      <c r="P53" s="19" t="s">
        <v>247</v>
      </c>
      <c r="Q53" s="41">
        <v>275706</v>
      </c>
      <c r="R53" s="41">
        <v>2288</v>
      </c>
      <c r="S53" s="41">
        <f t="shared" si="1"/>
        <v>273418</v>
      </c>
      <c r="T53" s="19" t="str">
        <f t="shared" si="2"/>
        <v>X</v>
      </c>
    </row>
    <row r="54" spans="1:20" ht="27.75" customHeight="1">
      <c r="A54" s="17">
        <v>52</v>
      </c>
      <c r="B54" s="14" t="s">
        <v>40</v>
      </c>
      <c r="C54" s="13" t="s">
        <v>61</v>
      </c>
      <c r="D54" s="1" t="s">
        <v>25</v>
      </c>
      <c r="E54" s="7">
        <v>50000</v>
      </c>
      <c r="F54" s="6">
        <v>6</v>
      </c>
      <c r="G54" s="12">
        <f t="shared" si="0"/>
        <v>300000</v>
      </c>
      <c r="H54" s="1" t="s">
        <v>74</v>
      </c>
      <c r="I54" s="1" t="s">
        <v>218</v>
      </c>
      <c r="J54" s="2">
        <v>0</v>
      </c>
      <c r="K54" s="3">
        <f>6424-4347-578-4599+3100+26230+300000-76230-(-3696)-8043-45507-41375-(-840)-7207-J54-J54</f>
        <v>152404</v>
      </c>
      <c r="M54" s="49" t="s">
        <v>75</v>
      </c>
      <c r="N54" s="19" t="s">
        <v>219</v>
      </c>
      <c r="O54" s="19" t="s">
        <v>187</v>
      </c>
      <c r="P54" s="169" t="s">
        <v>503</v>
      </c>
      <c r="Q54" s="41">
        <v>152404</v>
      </c>
      <c r="R54" s="41">
        <v>0</v>
      </c>
      <c r="S54" s="41">
        <f t="shared" si="1"/>
        <v>152404</v>
      </c>
      <c r="T54" s="19" t="str">
        <f t="shared" si="2"/>
        <v>O</v>
      </c>
    </row>
    <row r="55" spans="1:20" ht="27.75" customHeight="1">
      <c r="A55" s="17">
        <v>53</v>
      </c>
      <c r="B55" s="30" t="s">
        <v>21</v>
      </c>
      <c r="C55" s="25" t="s">
        <v>47</v>
      </c>
      <c r="D55" s="1" t="s">
        <v>24</v>
      </c>
      <c r="E55" s="7">
        <v>100000</v>
      </c>
      <c r="F55" s="6">
        <v>3</v>
      </c>
      <c r="G55" s="12">
        <f t="shared" si="0"/>
        <v>300000</v>
      </c>
      <c r="H55" s="86" t="s">
        <v>224</v>
      </c>
      <c r="I55" s="86" t="s">
        <v>138</v>
      </c>
      <c r="J55" s="2">
        <v>22660</v>
      </c>
      <c r="K55" s="3">
        <f>18120+143693-161813+300000-(-8841)-(-305)-17566-5534-135160+134988-0-26131-71339-(-2436)-36470-22660</f>
        <v>131710</v>
      </c>
      <c r="M55" s="31" t="s">
        <v>547</v>
      </c>
      <c r="N55" s="171" t="s">
        <v>517</v>
      </c>
      <c r="O55" s="19" t="s">
        <v>131</v>
      </c>
      <c r="P55" s="19" t="s">
        <v>247</v>
      </c>
      <c r="Q55" s="41">
        <v>154370</v>
      </c>
      <c r="R55" s="41">
        <v>21581</v>
      </c>
      <c r="S55" s="41">
        <f t="shared" si="1"/>
        <v>132789</v>
      </c>
      <c r="T55" s="19" t="str">
        <f t="shared" si="2"/>
        <v>X</v>
      </c>
    </row>
    <row r="56" spans="1:20" ht="27.75" customHeight="1">
      <c r="A56" s="17">
        <v>54</v>
      </c>
      <c r="B56" s="14" t="s">
        <v>17</v>
      </c>
      <c r="C56" s="13" t="s">
        <v>243</v>
      </c>
      <c r="D56" s="1" t="s">
        <v>25</v>
      </c>
      <c r="E56" s="7">
        <v>50000</v>
      </c>
      <c r="F56" s="6">
        <v>12</v>
      </c>
      <c r="G56" s="12">
        <f t="shared" si="0"/>
        <v>600000</v>
      </c>
      <c r="H56" s="1" t="s">
        <v>300</v>
      </c>
      <c r="I56" s="1" t="s">
        <v>454</v>
      </c>
      <c r="J56" s="2">
        <v>7425</v>
      </c>
      <c r="K56" s="3">
        <f>45590-46809+1219+300000-1890-7425</f>
        <v>290685</v>
      </c>
      <c r="L56" s="144" t="s">
        <v>452</v>
      </c>
      <c r="M56" s="31" t="s">
        <v>539</v>
      </c>
      <c r="N56" s="144" t="s">
        <v>453</v>
      </c>
      <c r="O56" s="19" t="s">
        <v>188</v>
      </c>
      <c r="P56" s="19" t="s">
        <v>247</v>
      </c>
      <c r="Q56" s="41">
        <v>298110</v>
      </c>
      <c r="R56" s="41">
        <v>4671</v>
      </c>
      <c r="S56" s="41">
        <f t="shared" si="1"/>
        <v>293439</v>
      </c>
      <c r="T56" s="19" t="str">
        <f t="shared" si="2"/>
        <v>X</v>
      </c>
    </row>
    <row r="57" spans="1:20" ht="27.75" customHeight="1">
      <c r="A57" s="17">
        <v>55</v>
      </c>
      <c r="B57" s="30" t="s">
        <v>21</v>
      </c>
      <c r="C57" s="25" t="s">
        <v>82</v>
      </c>
      <c r="D57" s="1" t="s">
        <v>24</v>
      </c>
      <c r="E57" s="7">
        <v>100000</v>
      </c>
      <c r="F57" s="6">
        <v>2</v>
      </c>
      <c r="G57" s="12">
        <f t="shared" si="0"/>
        <v>200000</v>
      </c>
      <c r="H57" s="86" t="s">
        <v>178</v>
      </c>
      <c r="I57" s="86" t="s">
        <v>71</v>
      </c>
      <c r="J57" s="2">
        <v>0</v>
      </c>
      <c r="K57" s="3">
        <f>200000-(-7917)-0-0-J57-J57</f>
        <v>207917</v>
      </c>
      <c r="M57" s="49" t="s">
        <v>75</v>
      </c>
      <c r="N57" s="19" t="s">
        <v>177</v>
      </c>
      <c r="O57" s="19" t="s">
        <v>176</v>
      </c>
      <c r="P57" s="19" t="s">
        <v>246</v>
      </c>
      <c r="Q57" s="41">
        <v>207917</v>
      </c>
      <c r="R57" s="41">
        <v>0</v>
      </c>
      <c r="S57" s="41">
        <f t="shared" si="1"/>
        <v>207917</v>
      </c>
      <c r="T57" s="19" t="str">
        <f t="shared" si="2"/>
        <v>O</v>
      </c>
    </row>
    <row r="58" spans="1:20" ht="27.75" customHeight="1">
      <c r="A58" s="17">
        <v>56</v>
      </c>
      <c r="B58" s="30" t="s">
        <v>21</v>
      </c>
      <c r="C58" s="25" t="s">
        <v>51</v>
      </c>
      <c r="D58" s="1" t="s">
        <v>25</v>
      </c>
      <c r="E58" s="7">
        <v>50000</v>
      </c>
      <c r="F58" s="6">
        <v>6</v>
      </c>
      <c r="G58" s="12">
        <f t="shared" si="0"/>
        <v>300000</v>
      </c>
      <c r="H58" s="86" t="s">
        <v>64</v>
      </c>
      <c r="I58" s="86" t="s">
        <v>90</v>
      </c>
      <c r="J58" s="2">
        <v>13514</v>
      </c>
      <c r="K58" s="3">
        <f>291213-8534-415-33896-7648-8294-25977-1182-1722-13726-0-1890-0-525-13514</f>
        <v>173890</v>
      </c>
      <c r="M58" s="31" t="s">
        <v>540</v>
      </c>
      <c r="N58" s="171" t="s">
        <v>518</v>
      </c>
      <c r="O58" s="19" t="s">
        <v>127</v>
      </c>
      <c r="P58" s="169" t="s">
        <v>312</v>
      </c>
      <c r="Q58" s="41">
        <v>187404</v>
      </c>
      <c r="R58" s="41">
        <v>12870</v>
      </c>
      <c r="S58" s="41">
        <f t="shared" si="1"/>
        <v>174534</v>
      </c>
      <c r="T58" s="19" t="str">
        <f t="shared" si="2"/>
        <v>X</v>
      </c>
    </row>
    <row r="59" spans="1:20" ht="27.75" customHeight="1">
      <c r="A59" s="17">
        <v>57</v>
      </c>
      <c r="B59" s="14" t="s">
        <v>40</v>
      </c>
      <c r="C59" s="14" t="s">
        <v>28</v>
      </c>
      <c r="D59" s="1" t="s">
        <v>24</v>
      </c>
      <c r="E59" s="7">
        <v>100000</v>
      </c>
      <c r="F59" s="6">
        <v>3</v>
      </c>
      <c r="G59" s="12">
        <f t="shared" si="0"/>
        <v>300000</v>
      </c>
      <c r="H59" s="1" t="s">
        <v>90</v>
      </c>
      <c r="I59" s="1" t="s">
        <v>202</v>
      </c>
      <c r="J59" s="2">
        <v>23911</v>
      </c>
      <c r="K59" s="3">
        <f>18092+300000-64117-22203-64266-33368-8329-22706-5462-5938-2416-37338-16832-83152+300000-17026-(-9888)-29563-35177-18692-(-788)-40201-(-470)-(-7762)-96353-(-1439)-23911</f>
        <v>11389</v>
      </c>
      <c r="M59" s="31" t="s">
        <v>537</v>
      </c>
      <c r="N59" s="19" t="s">
        <v>195</v>
      </c>
      <c r="O59" s="19" t="s">
        <v>143</v>
      </c>
      <c r="P59" s="169" t="s">
        <v>504</v>
      </c>
      <c r="Q59" s="41">
        <v>35300</v>
      </c>
      <c r="R59" s="41">
        <v>4000</v>
      </c>
      <c r="S59" s="41">
        <f t="shared" si="1"/>
        <v>31300</v>
      </c>
      <c r="T59" s="19" t="str">
        <f t="shared" si="2"/>
        <v>X</v>
      </c>
    </row>
    <row r="60" spans="1:20" ht="27.75" customHeight="1">
      <c r="A60" s="17">
        <v>58</v>
      </c>
      <c r="B60" s="14" t="s">
        <v>40</v>
      </c>
      <c r="C60" s="13" t="s">
        <v>27</v>
      </c>
      <c r="D60" s="1" t="s">
        <v>24</v>
      </c>
      <c r="E60" s="7">
        <v>100000</v>
      </c>
      <c r="F60" s="6">
        <v>3</v>
      </c>
      <c r="G60" s="12">
        <f t="shared" si="0"/>
        <v>300000</v>
      </c>
      <c r="H60" s="1" t="s">
        <v>279</v>
      </c>
      <c r="I60" s="1" t="s">
        <v>300</v>
      </c>
      <c r="J60" s="2">
        <v>64642</v>
      </c>
      <c r="K60" s="3">
        <f>300000-43674-(-7846)-15414-64642</f>
        <v>184116</v>
      </c>
      <c r="L60" s="129" t="s">
        <v>432</v>
      </c>
      <c r="M60" s="31" t="s">
        <v>540</v>
      </c>
      <c r="N60" s="129" t="s">
        <v>434</v>
      </c>
      <c r="O60" s="19" t="s">
        <v>169</v>
      </c>
      <c r="P60" s="19" t="s">
        <v>248</v>
      </c>
      <c r="Q60" s="41">
        <v>248758</v>
      </c>
      <c r="R60" s="41">
        <v>61564</v>
      </c>
      <c r="S60" s="41">
        <f t="shared" si="1"/>
        <v>187194</v>
      </c>
      <c r="T60" s="19" t="str">
        <f t="shared" si="2"/>
        <v>X</v>
      </c>
    </row>
    <row r="61" spans="1:20" ht="27.75" customHeight="1">
      <c r="A61" s="17">
        <v>59</v>
      </c>
      <c r="B61" s="18" t="s">
        <v>44</v>
      </c>
      <c r="C61" s="8" t="s">
        <v>56</v>
      </c>
      <c r="D61" s="1" t="s">
        <v>25</v>
      </c>
      <c r="E61" s="7">
        <v>100000</v>
      </c>
      <c r="F61" s="6">
        <v>1</v>
      </c>
      <c r="G61" s="12">
        <f t="shared" si="0"/>
        <v>100000</v>
      </c>
      <c r="H61" s="87" t="s">
        <v>71</v>
      </c>
      <c r="I61" s="87" t="s">
        <v>71</v>
      </c>
      <c r="J61" s="2">
        <v>0</v>
      </c>
      <c r="K61" s="3">
        <f>90000-49135-31500+8001-7207+920+100000-50715-2617-6556-12090-34997-4253+149-0-J61</f>
        <v>0</v>
      </c>
      <c r="L61" s="94" t="s">
        <v>26</v>
      </c>
      <c r="M61" s="49" t="s">
        <v>75</v>
      </c>
      <c r="N61" s="19" t="s">
        <v>161</v>
      </c>
      <c r="O61" s="19" t="s">
        <v>120</v>
      </c>
      <c r="P61" s="169" t="s">
        <v>503</v>
      </c>
      <c r="Q61" s="41">
        <v>0</v>
      </c>
      <c r="R61" s="41">
        <v>0</v>
      </c>
      <c r="S61" s="41">
        <f t="shared" si="1"/>
        <v>0</v>
      </c>
      <c r="T61" s="19" t="str">
        <f t="shared" si="2"/>
        <v>O</v>
      </c>
    </row>
    <row r="62" spans="1:20" ht="27.75" customHeight="1">
      <c r="A62" s="17">
        <v>60</v>
      </c>
      <c r="B62" s="14" t="s">
        <v>17</v>
      </c>
      <c r="C62" s="13" t="s">
        <v>76</v>
      </c>
      <c r="D62" s="1" t="s">
        <v>16</v>
      </c>
      <c r="E62" s="7">
        <v>100000</v>
      </c>
      <c r="F62" s="6">
        <v>3</v>
      </c>
      <c r="G62" s="12">
        <f t="shared" si="0"/>
        <v>300000</v>
      </c>
      <c r="H62" s="166" t="s">
        <v>300</v>
      </c>
      <c r="I62" s="164" t="s">
        <v>454</v>
      </c>
      <c r="J62" s="2">
        <v>18968</v>
      </c>
      <c r="K62" s="3">
        <f>10405+300000-46482-18968</f>
        <v>244955</v>
      </c>
      <c r="L62" s="173" t="s">
        <v>489</v>
      </c>
      <c r="M62" s="31" t="s">
        <v>537</v>
      </c>
      <c r="N62" s="157" t="s">
        <v>488</v>
      </c>
      <c r="O62" s="19" t="s">
        <v>121</v>
      </c>
      <c r="P62" s="169" t="s">
        <v>504</v>
      </c>
      <c r="Q62" s="41">
        <v>263923</v>
      </c>
      <c r="R62" s="41">
        <v>15376</v>
      </c>
      <c r="S62" s="41">
        <f t="shared" si="1"/>
        <v>248547</v>
      </c>
      <c r="T62" s="19" t="str">
        <f t="shared" si="2"/>
        <v>X</v>
      </c>
    </row>
    <row r="63" spans="1:20" ht="27.75" customHeight="1">
      <c r="A63" s="17">
        <v>61</v>
      </c>
      <c r="B63" s="14" t="s">
        <v>17</v>
      </c>
      <c r="C63" s="13" t="s">
        <v>62</v>
      </c>
      <c r="D63" s="1" t="s">
        <v>25</v>
      </c>
      <c r="E63" s="7">
        <v>50000</v>
      </c>
      <c r="F63" s="6">
        <v>6</v>
      </c>
      <c r="G63" s="12">
        <f t="shared" si="0"/>
        <v>300000</v>
      </c>
      <c r="H63" s="87" t="s">
        <v>224</v>
      </c>
      <c r="I63" s="1" t="s">
        <v>258</v>
      </c>
      <c r="J63" s="2">
        <v>31853</v>
      </c>
      <c r="K63" s="3">
        <f>300000-7875-9736-(-1040)-0-7350-99557-11208-1155-18554-3497-31853</f>
        <v>110255</v>
      </c>
      <c r="L63" s="20"/>
      <c r="M63" s="31" t="s">
        <v>544</v>
      </c>
      <c r="N63" s="20" t="s">
        <v>251</v>
      </c>
      <c r="O63" s="19" t="s">
        <v>168</v>
      </c>
      <c r="P63" s="19" t="s">
        <v>248</v>
      </c>
      <c r="Q63" s="41">
        <v>142108</v>
      </c>
      <c r="R63" s="41">
        <v>30336</v>
      </c>
      <c r="S63" s="41">
        <f t="shared" si="1"/>
        <v>111772</v>
      </c>
      <c r="T63" s="19" t="str">
        <f t="shared" si="2"/>
        <v>X</v>
      </c>
    </row>
    <row r="64" spans="1:20" ht="27.75" customHeight="1">
      <c r="A64" s="17">
        <v>62</v>
      </c>
      <c r="B64" s="14" t="s">
        <v>17</v>
      </c>
      <c r="C64" s="13" t="s">
        <v>31</v>
      </c>
      <c r="D64" s="1" t="s">
        <v>24</v>
      </c>
      <c r="E64" s="7">
        <v>100000</v>
      </c>
      <c r="F64" s="6">
        <v>3</v>
      </c>
      <c r="G64" s="12">
        <f t="shared" si="0"/>
        <v>300000</v>
      </c>
      <c r="H64" s="87" t="s">
        <v>88</v>
      </c>
      <c r="I64" s="1" t="s">
        <v>202</v>
      </c>
      <c r="J64" s="2">
        <v>108225</v>
      </c>
      <c r="K64" s="3">
        <f>300000-48258-108671-7271-9559-275-108225</f>
        <v>17741</v>
      </c>
      <c r="L64" s="93" t="s">
        <v>352</v>
      </c>
      <c r="M64" s="31" t="s">
        <v>540</v>
      </c>
      <c r="N64" s="19" t="s">
        <v>260</v>
      </c>
      <c r="O64" s="19" t="s">
        <v>136</v>
      </c>
      <c r="P64" s="19" t="s">
        <v>247</v>
      </c>
      <c r="Q64" s="41">
        <v>42395</v>
      </c>
      <c r="R64" s="41">
        <v>19500</v>
      </c>
      <c r="S64" s="41">
        <f t="shared" si="1"/>
        <v>22895</v>
      </c>
      <c r="T64" s="19" t="str">
        <f t="shared" si="2"/>
        <v>X</v>
      </c>
    </row>
    <row r="65" spans="1:20" ht="27.75" customHeight="1">
      <c r="A65" s="17">
        <v>63</v>
      </c>
      <c r="B65" s="14" t="s">
        <v>17</v>
      </c>
      <c r="C65" s="13" t="s">
        <v>204</v>
      </c>
      <c r="D65" s="1" t="s">
        <v>25</v>
      </c>
      <c r="E65" s="7">
        <v>50000</v>
      </c>
      <c r="F65" s="6">
        <v>6</v>
      </c>
      <c r="G65" s="12">
        <f t="shared" si="0"/>
        <v>300000</v>
      </c>
      <c r="H65" s="1" t="s">
        <v>466</v>
      </c>
      <c r="I65" s="1" t="s">
        <v>546</v>
      </c>
      <c r="J65" s="2">
        <v>80</v>
      </c>
      <c r="K65" s="3">
        <f>50000*3-21420-7581-80</f>
        <v>120919</v>
      </c>
      <c r="L65" s="149" t="s">
        <v>467</v>
      </c>
      <c r="M65" s="31" t="s">
        <v>545</v>
      </c>
      <c r="N65" s="186" t="s">
        <v>543</v>
      </c>
      <c r="O65" s="19" t="s">
        <v>203</v>
      </c>
      <c r="P65" s="169" t="s">
        <v>503</v>
      </c>
      <c r="Q65" s="41">
        <v>270999</v>
      </c>
      <c r="R65" s="41">
        <v>76</v>
      </c>
      <c r="S65" s="41">
        <f t="shared" si="1"/>
        <v>270923</v>
      </c>
      <c r="T65" s="19" t="str">
        <f t="shared" si="2"/>
        <v>X</v>
      </c>
    </row>
    <row r="66" spans="1:20" ht="27.75" customHeight="1">
      <c r="A66" s="17">
        <v>64</v>
      </c>
      <c r="B66" s="30" t="s">
        <v>21</v>
      </c>
      <c r="C66" s="25" t="s">
        <v>57</v>
      </c>
      <c r="D66" s="1" t="s">
        <v>25</v>
      </c>
      <c r="E66" s="7">
        <v>50000</v>
      </c>
      <c r="F66" s="6">
        <v>6</v>
      </c>
      <c r="G66" s="12">
        <f t="shared" si="0"/>
        <v>300000</v>
      </c>
      <c r="H66" s="92" t="s">
        <v>71</v>
      </c>
      <c r="I66" s="86" t="s">
        <v>138</v>
      </c>
      <c r="J66" s="2">
        <v>0</v>
      </c>
      <c r="K66" s="3">
        <f>9182+300000-53834-8363-66119-5118-32723-9160-2310-8921-3614-5204-J66</f>
        <v>113816</v>
      </c>
      <c r="M66" s="31" t="s">
        <v>547</v>
      </c>
      <c r="N66" s="171" t="s">
        <v>519</v>
      </c>
      <c r="O66" s="19" t="s">
        <v>115</v>
      </c>
      <c r="P66" s="169" t="s">
        <v>503</v>
      </c>
      <c r="Q66" s="41">
        <v>113816</v>
      </c>
      <c r="R66" s="41">
        <v>0</v>
      </c>
      <c r="S66" s="41">
        <f t="shared" si="1"/>
        <v>113816</v>
      </c>
      <c r="T66" s="19" t="str">
        <f t="shared" si="2"/>
        <v>O</v>
      </c>
    </row>
    <row r="67" spans="1:20" ht="27.75" customHeight="1">
      <c r="A67" s="17">
        <v>65</v>
      </c>
      <c r="B67" s="18" t="s">
        <v>93</v>
      </c>
      <c r="C67" s="8" t="s">
        <v>63</v>
      </c>
      <c r="D67" s="1" t="s">
        <v>60</v>
      </c>
      <c r="E67" s="7">
        <v>50000</v>
      </c>
      <c r="F67" s="6">
        <v>6</v>
      </c>
      <c r="G67" s="12">
        <f t="shared" si="0"/>
        <v>300000</v>
      </c>
      <c r="H67" s="87" t="s">
        <v>224</v>
      </c>
      <c r="I67" s="1" t="s">
        <v>138</v>
      </c>
      <c r="J67" s="2">
        <v>8160</v>
      </c>
      <c r="K67" s="3">
        <f>0-(-2738)-J67</f>
        <v>-5422</v>
      </c>
      <c r="L67" s="94" t="s">
        <v>26</v>
      </c>
      <c r="M67" s="49" t="s">
        <v>75</v>
      </c>
      <c r="N67" s="19" t="s">
        <v>250</v>
      </c>
      <c r="O67" s="129" t="s">
        <v>132</v>
      </c>
      <c r="P67" s="19" t="s">
        <v>247</v>
      </c>
      <c r="Q67" s="41">
        <v>2738</v>
      </c>
      <c r="R67" s="41">
        <v>8160</v>
      </c>
      <c r="S67" s="41">
        <f t="shared" si="1"/>
        <v>-5422</v>
      </c>
      <c r="T67" s="19" t="str">
        <f t="shared" si="2"/>
        <v>O</v>
      </c>
    </row>
    <row r="68" spans="1:20" ht="27.75" customHeight="1">
      <c r="A68" s="17">
        <v>66</v>
      </c>
      <c r="B68" s="14" t="s">
        <v>17</v>
      </c>
      <c r="C68" s="13" t="s">
        <v>38</v>
      </c>
      <c r="D68" s="1" t="s">
        <v>15</v>
      </c>
      <c r="E68" s="7">
        <v>150000</v>
      </c>
      <c r="F68" s="6">
        <v>6</v>
      </c>
      <c r="G68" s="12">
        <f t="shared" si="0"/>
        <v>900000</v>
      </c>
      <c r="H68" s="87" t="s">
        <v>268</v>
      </c>
      <c r="I68" s="1" t="s">
        <v>269</v>
      </c>
      <c r="J68" s="2">
        <v>56651</v>
      </c>
      <c r="K68" s="3">
        <f>150000*6-99420-18220-135541-82176-70245-80418-102421-90568-140431-56651</f>
        <v>23909</v>
      </c>
      <c r="L68" s="19" t="s">
        <v>267</v>
      </c>
      <c r="M68" s="31" t="s">
        <v>540</v>
      </c>
      <c r="N68" s="19" t="s">
        <v>270</v>
      </c>
      <c r="O68" s="19" t="s">
        <v>175</v>
      </c>
      <c r="P68" s="19" t="s">
        <v>246</v>
      </c>
      <c r="Q68" s="41">
        <v>80560</v>
      </c>
      <c r="R68" s="41">
        <v>49281</v>
      </c>
      <c r="S68" s="41">
        <f t="shared" si="1"/>
        <v>31279</v>
      </c>
      <c r="T68" s="19" t="str">
        <f t="shared" si="2"/>
        <v>X</v>
      </c>
    </row>
    <row r="69" spans="1:20" ht="27.75" customHeight="1">
      <c r="A69" s="17">
        <v>67</v>
      </c>
      <c r="B69" s="14" t="s">
        <v>17</v>
      </c>
      <c r="C69" s="13" t="s">
        <v>73</v>
      </c>
      <c r="D69" s="1" t="s">
        <v>25</v>
      </c>
      <c r="E69" s="7">
        <v>50000</v>
      </c>
      <c r="F69" s="6">
        <v>6</v>
      </c>
      <c r="G69" s="12">
        <f t="shared" si="0"/>
        <v>300000</v>
      </c>
      <c r="H69" s="87" t="s">
        <v>218</v>
      </c>
      <c r="I69" s="1" t="s">
        <v>300</v>
      </c>
      <c r="J69" s="2">
        <v>2703</v>
      </c>
      <c r="K69" s="3">
        <f>73398+300000-99178+25780-11025-13244-1134-2048-2703</f>
        <v>269846</v>
      </c>
      <c r="L69" s="93" t="s">
        <v>348</v>
      </c>
      <c r="M69" s="31" t="s">
        <v>537</v>
      </c>
      <c r="N69" s="57" t="s">
        <v>298</v>
      </c>
      <c r="O69" s="19" t="s">
        <v>146</v>
      </c>
      <c r="P69" s="19" t="s">
        <v>246</v>
      </c>
      <c r="Q69" s="41">
        <v>272549</v>
      </c>
      <c r="R69" s="41">
        <v>0</v>
      </c>
      <c r="S69" s="41">
        <f t="shared" ref="S69:S77" si="3">Q69-R69</f>
        <v>272549</v>
      </c>
      <c r="T69" s="19" t="str">
        <f t="shared" ref="T69:T77" si="4">IF(K69=S69,"O","X")</f>
        <v>X</v>
      </c>
    </row>
    <row r="70" spans="1:20" ht="27.75" customHeight="1">
      <c r="A70" s="17">
        <v>68</v>
      </c>
      <c r="B70" s="14" t="s">
        <v>17</v>
      </c>
      <c r="C70" s="13" t="s">
        <v>309</v>
      </c>
      <c r="D70" s="1" t="s">
        <v>24</v>
      </c>
      <c r="E70" s="7">
        <v>30000</v>
      </c>
      <c r="F70" s="6">
        <v>3</v>
      </c>
      <c r="G70" s="12">
        <f t="shared" si="0"/>
        <v>90000</v>
      </c>
      <c r="H70" s="87" t="s">
        <v>218</v>
      </c>
      <c r="I70" s="1" t="s">
        <v>258</v>
      </c>
      <c r="J70" s="2">
        <v>-1666</v>
      </c>
      <c r="K70" s="3">
        <f>90000-5313-6426-5644-9694-(-1666)</f>
        <v>64589</v>
      </c>
      <c r="L70" s="93" t="s">
        <v>349</v>
      </c>
      <c r="M70" s="31" t="s">
        <v>537</v>
      </c>
      <c r="N70" s="179" t="s">
        <v>530</v>
      </c>
      <c r="O70" s="66" t="s">
        <v>311</v>
      </c>
      <c r="P70" s="66" t="s">
        <v>312</v>
      </c>
      <c r="Q70" s="41">
        <v>62923</v>
      </c>
      <c r="R70" s="41">
        <v>-2307</v>
      </c>
      <c r="S70" s="41">
        <f t="shared" si="3"/>
        <v>65230</v>
      </c>
      <c r="T70" s="19" t="str">
        <f t="shared" si="4"/>
        <v>X</v>
      </c>
    </row>
    <row r="71" spans="1:20" ht="27.75" customHeight="1">
      <c r="A71" s="17">
        <v>69</v>
      </c>
      <c r="B71" s="30" t="s">
        <v>21</v>
      </c>
      <c r="C71" s="25" t="s">
        <v>189</v>
      </c>
      <c r="D71" s="1" t="s">
        <v>15</v>
      </c>
      <c r="E71" s="7">
        <v>100000</v>
      </c>
      <c r="F71" s="6">
        <v>3</v>
      </c>
      <c r="G71" s="12">
        <f t="shared" si="0"/>
        <v>300000</v>
      </c>
      <c r="H71" s="92" t="s">
        <v>190</v>
      </c>
      <c r="I71" s="86" t="s">
        <v>191</v>
      </c>
      <c r="J71" s="2">
        <v>-649</v>
      </c>
      <c r="K71" s="3">
        <f>300000-3904-171-22279-24548-4422-0-1502-8533-20349-12344-15574-(-649)</f>
        <v>187023</v>
      </c>
      <c r="M71" s="31" t="s">
        <v>534</v>
      </c>
      <c r="N71" s="176" t="s">
        <v>520</v>
      </c>
      <c r="O71" s="19" t="s">
        <v>172</v>
      </c>
      <c r="P71" s="19" t="s">
        <v>246</v>
      </c>
      <c r="Q71" s="41">
        <v>186374</v>
      </c>
      <c r="R71" s="41">
        <v>0</v>
      </c>
      <c r="S71" s="41">
        <f t="shared" si="3"/>
        <v>186374</v>
      </c>
      <c r="T71" s="19" t="str">
        <f t="shared" si="4"/>
        <v>X</v>
      </c>
    </row>
    <row r="72" spans="1:20" ht="27.75" customHeight="1">
      <c r="A72" s="17">
        <v>70</v>
      </c>
      <c r="B72" s="16" t="s">
        <v>45</v>
      </c>
      <c r="C72" s="9" t="s">
        <v>65</v>
      </c>
      <c r="D72" s="1" t="s">
        <v>25</v>
      </c>
      <c r="E72" s="7">
        <v>30000</v>
      </c>
      <c r="F72" s="6">
        <v>3</v>
      </c>
      <c r="G72" s="12">
        <f t="shared" si="0"/>
        <v>90000</v>
      </c>
      <c r="H72" s="89" t="s">
        <v>55</v>
      </c>
      <c r="I72" s="89" t="s">
        <v>70</v>
      </c>
      <c r="J72" s="2">
        <v>-11340</v>
      </c>
      <c r="K72" s="3">
        <f>300000-6732-149680+5310-23804-1573-(-4095)-2995-16120-6646-34272-19278-8610-17441-18456-(-11340)</f>
        <v>15138</v>
      </c>
      <c r="M72" s="31" t="s">
        <v>545</v>
      </c>
      <c r="N72" s="176" t="s">
        <v>512</v>
      </c>
      <c r="O72" s="19" t="s">
        <v>170</v>
      </c>
      <c r="P72" s="19" t="s">
        <v>246</v>
      </c>
      <c r="Q72" s="41">
        <v>3798</v>
      </c>
      <c r="R72" s="41">
        <v>-10800</v>
      </c>
      <c r="S72" s="41">
        <f t="shared" si="3"/>
        <v>14598</v>
      </c>
      <c r="T72" s="19" t="str">
        <f t="shared" si="4"/>
        <v>X</v>
      </c>
    </row>
    <row r="73" spans="1:20" ht="27.75" customHeight="1">
      <c r="A73" s="17">
        <v>71</v>
      </c>
      <c r="B73" s="14" t="s">
        <v>17</v>
      </c>
      <c r="C73" s="13" t="s">
        <v>52</v>
      </c>
      <c r="D73" s="1" t="s">
        <v>25</v>
      </c>
      <c r="E73" s="7">
        <v>30000</v>
      </c>
      <c r="F73" s="6">
        <v>6</v>
      </c>
      <c r="G73" s="12">
        <f t="shared" si="0"/>
        <v>180000</v>
      </c>
      <c r="H73" s="87" t="s">
        <v>218</v>
      </c>
      <c r="I73" s="1" t="s">
        <v>300</v>
      </c>
      <c r="J73" s="2">
        <v>0</v>
      </c>
      <c r="K73" s="3">
        <f>39664+300000-52605-13703-6825-61956-(-1285)-J73</f>
        <v>205860</v>
      </c>
      <c r="L73" s="93" t="s">
        <v>348</v>
      </c>
      <c r="M73" s="31" t="s">
        <v>547</v>
      </c>
      <c r="N73" s="20"/>
      <c r="O73" s="19" t="s">
        <v>147</v>
      </c>
      <c r="P73" s="19" t="s">
        <v>246</v>
      </c>
      <c r="Q73" s="41">
        <v>205860</v>
      </c>
      <c r="R73" s="41">
        <v>0</v>
      </c>
      <c r="S73" s="41">
        <f t="shared" si="3"/>
        <v>205860</v>
      </c>
      <c r="T73" s="19" t="str">
        <f t="shared" si="4"/>
        <v>O</v>
      </c>
    </row>
    <row r="74" spans="1:20" ht="27.75" customHeight="1">
      <c r="A74" s="17">
        <v>72</v>
      </c>
      <c r="B74" s="14" t="s">
        <v>40</v>
      </c>
      <c r="C74" s="13" t="s">
        <v>229</v>
      </c>
      <c r="D74" s="1" t="s">
        <v>25</v>
      </c>
      <c r="E74" s="7">
        <v>50000</v>
      </c>
      <c r="F74" s="6">
        <v>6</v>
      </c>
      <c r="G74" s="12">
        <f t="shared" si="0"/>
        <v>300000</v>
      </c>
      <c r="H74" s="87" t="s">
        <v>201</v>
      </c>
      <c r="I74" s="1" t="s">
        <v>227</v>
      </c>
      <c r="J74" s="2">
        <v>42707</v>
      </c>
      <c r="K74" s="3">
        <f>-24769+24769+300000-11519-7175-(-4162)-36815-12891-127221-17220-(-19824)-(-44)-33789-42707</f>
        <v>34693</v>
      </c>
      <c r="M74" s="31" t="s">
        <v>539</v>
      </c>
      <c r="N74" s="109" t="s">
        <v>395</v>
      </c>
      <c r="O74" s="19" t="s">
        <v>163</v>
      </c>
      <c r="P74" s="19" t="s">
        <v>246</v>
      </c>
      <c r="Q74" s="41">
        <v>77400</v>
      </c>
      <c r="R74" s="41">
        <v>41089</v>
      </c>
      <c r="S74" s="41">
        <f t="shared" si="3"/>
        <v>36311</v>
      </c>
      <c r="T74" s="19" t="str">
        <f t="shared" si="4"/>
        <v>X</v>
      </c>
    </row>
    <row r="75" spans="1:20" ht="27.75" customHeight="1">
      <c r="A75" s="17">
        <v>73</v>
      </c>
      <c r="B75" s="14" t="s">
        <v>40</v>
      </c>
      <c r="C75" s="13" t="s">
        <v>84</v>
      </c>
      <c r="D75" s="1" t="s">
        <v>25</v>
      </c>
      <c r="E75" s="7">
        <v>50000</v>
      </c>
      <c r="F75" s="6">
        <v>6</v>
      </c>
      <c r="G75" s="12">
        <f t="shared" si="0"/>
        <v>300000</v>
      </c>
      <c r="H75" s="87" t="s">
        <v>397</v>
      </c>
      <c r="I75" s="1" t="s">
        <v>398</v>
      </c>
      <c r="J75" s="2">
        <v>54628</v>
      </c>
      <c r="K75" s="3">
        <f>300000-61806+11806-50357-54628</f>
        <v>145015</v>
      </c>
      <c r="L75" s="175" t="s">
        <v>394</v>
      </c>
      <c r="M75" s="31" t="s">
        <v>539</v>
      </c>
      <c r="N75" s="109" t="s">
        <v>396</v>
      </c>
      <c r="O75" s="19" t="s">
        <v>148</v>
      </c>
      <c r="P75" s="19" t="s">
        <v>246</v>
      </c>
      <c r="Q75" s="41">
        <v>199643</v>
      </c>
      <c r="R75" s="41">
        <v>38912</v>
      </c>
      <c r="S75" s="41">
        <f t="shared" si="3"/>
        <v>160731</v>
      </c>
      <c r="T75" s="19" t="str">
        <f t="shared" si="4"/>
        <v>X</v>
      </c>
    </row>
    <row r="76" spans="1:20" ht="27.75" customHeight="1">
      <c r="A76" s="17">
        <v>74</v>
      </c>
      <c r="B76" s="16" t="s">
        <v>20</v>
      </c>
      <c r="C76" s="9" t="s">
        <v>0</v>
      </c>
      <c r="D76" s="1" t="s">
        <v>16</v>
      </c>
      <c r="E76" s="7">
        <v>50000</v>
      </c>
      <c r="F76" s="6">
        <v>10</v>
      </c>
      <c r="G76" s="12">
        <f t="shared" si="0"/>
        <v>500000</v>
      </c>
      <c r="H76" s="89" t="s">
        <v>13</v>
      </c>
      <c r="I76" s="89" t="s">
        <v>14</v>
      </c>
      <c r="J76" s="2">
        <v>0</v>
      </c>
      <c r="K76" s="3">
        <f>3112+4900-0-0-J76</f>
        <v>8012</v>
      </c>
      <c r="M76" s="49" t="s">
        <v>75</v>
      </c>
      <c r="N76" s="93" t="s">
        <v>365</v>
      </c>
      <c r="O76" s="19" t="s">
        <v>192</v>
      </c>
      <c r="P76" s="19" t="s">
        <v>248</v>
      </c>
      <c r="Q76" s="41">
        <v>8012</v>
      </c>
      <c r="R76" s="41">
        <v>0</v>
      </c>
      <c r="S76" s="41">
        <f t="shared" si="3"/>
        <v>8012</v>
      </c>
      <c r="T76" s="19" t="str">
        <f t="shared" si="4"/>
        <v>O</v>
      </c>
    </row>
    <row r="77" spans="1:20" ht="27.75" customHeight="1">
      <c r="A77" s="17">
        <v>75</v>
      </c>
      <c r="B77" s="30" t="s">
        <v>21</v>
      </c>
      <c r="C77" s="25" t="s">
        <v>244</v>
      </c>
      <c r="D77" s="1" t="s">
        <v>15</v>
      </c>
      <c r="E77" s="7">
        <v>100000</v>
      </c>
      <c r="F77" s="6">
        <v>3</v>
      </c>
      <c r="G77" s="12">
        <f t="shared" si="0"/>
        <v>300000</v>
      </c>
      <c r="H77" s="92" t="s">
        <v>224</v>
      </c>
      <c r="I77" s="86" t="s">
        <v>138</v>
      </c>
      <c r="J77" s="2">
        <v>4038</v>
      </c>
      <c r="K77" s="3">
        <f>20902+300000-35247-49429-34239-31248-33787-54580-15388-234-28497-29505-4038</f>
        <v>4710</v>
      </c>
      <c r="L77" s="93" t="s">
        <v>357</v>
      </c>
      <c r="M77" s="31" t="s">
        <v>537</v>
      </c>
      <c r="N77" s="177" t="s">
        <v>521</v>
      </c>
      <c r="O77" s="19" t="s">
        <v>164</v>
      </c>
      <c r="P77" s="169" t="s">
        <v>312</v>
      </c>
      <c r="Q77" s="41">
        <v>8748</v>
      </c>
      <c r="R77" s="41">
        <v>3846</v>
      </c>
      <c r="S77" s="41">
        <f t="shared" si="3"/>
        <v>4902</v>
      </c>
      <c r="T77" s="19" t="str">
        <f t="shared" si="4"/>
        <v>X</v>
      </c>
    </row>
    <row r="78" spans="1:20" ht="21" customHeight="1">
      <c r="A78" s="189" t="s">
        <v>18</v>
      </c>
      <c r="B78" s="189"/>
      <c r="C78" s="189"/>
      <c r="D78" s="189"/>
      <c r="E78" s="190">
        <f>SUM(E3:E77)</f>
        <v>6430000</v>
      </c>
      <c r="F78" s="190"/>
      <c r="G78" s="190"/>
      <c r="H78" s="189" t="s">
        <v>23</v>
      </c>
      <c r="I78" s="189"/>
      <c r="J78" s="190">
        <f>SUM(J3:J77)</f>
        <v>2995745</v>
      </c>
      <c r="K78" s="190"/>
    </row>
    <row r="79" spans="1:20" ht="20.25" customHeight="1">
      <c r="A79" s="189" t="s">
        <v>29</v>
      </c>
      <c r="B79" s="189"/>
      <c r="C79" s="189"/>
      <c r="D79" s="189"/>
      <c r="E79" s="190">
        <f>E78-SUMIF(B3:B77,"待續約",E3:E77)</f>
        <v>5700000</v>
      </c>
      <c r="F79" s="190"/>
      <c r="G79" s="190"/>
      <c r="H79" s="191"/>
      <c r="I79" s="192"/>
      <c r="J79" s="193"/>
      <c r="K79" s="194"/>
    </row>
    <row r="80" spans="1:20" ht="21">
      <c r="A80" s="35" t="s">
        <v>19</v>
      </c>
      <c r="B80" s="4">
        <f>COUNTA(C3:C77)</f>
        <v>75</v>
      </c>
      <c r="C80" s="4" t="s">
        <v>20</v>
      </c>
      <c r="D80" s="4">
        <f>COUNTIF(B3:B77,"嚴重")</f>
        <v>5</v>
      </c>
      <c r="E80" s="4" t="s">
        <v>21</v>
      </c>
      <c r="F80" s="4">
        <f>COUNTIF(B3:B77,"逾期")</f>
        <v>10</v>
      </c>
      <c r="G80" s="36"/>
      <c r="H80" s="4" t="s">
        <v>22</v>
      </c>
      <c r="I80" s="4">
        <f>B80-D80-F80</f>
        <v>60</v>
      </c>
      <c r="J80" s="4" t="s">
        <v>7</v>
      </c>
      <c r="K80" s="37">
        <f>J78/E79</f>
        <v>0.52556929824561405</v>
      </c>
    </row>
    <row r="81" spans="1:20" s="21" customFormat="1">
      <c r="A81" s="19" t="s">
        <v>245</v>
      </c>
      <c r="B81" s="19"/>
      <c r="E81" s="38"/>
      <c r="G81" s="39"/>
      <c r="K81" s="19"/>
      <c r="N81" s="19"/>
      <c r="Q81" s="42"/>
      <c r="R81" s="41"/>
      <c r="S81" s="41"/>
      <c r="T81" s="19"/>
    </row>
    <row r="82" spans="1:20">
      <c r="N82" s="21"/>
    </row>
    <row r="84" spans="1:20" ht="18.75">
      <c r="B84" s="14" t="s">
        <v>17</v>
      </c>
      <c r="C84" s="13"/>
    </row>
    <row r="85" spans="1:20" ht="18.75">
      <c r="B85" s="18" t="s">
        <v>93</v>
      </c>
      <c r="C85" s="8"/>
    </row>
    <row r="86" spans="1:20" ht="18.75">
      <c r="B86" s="138" t="s">
        <v>30</v>
      </c>
      <c r="C86" s="139"/>
    </row>
    <row r="87" spans="1:20" ht="18.75">
      <c r="B87" s="30" t="s">
        <v>21</v>
      </c>
      <c r="C87" s="25"/>
    </row>
    <row r="88" spans="1:20" ht="18.75">
      <c r="B88" s="16" t="s">
        <v>20</v>
      </c>
      <c r="C88" s="9"/>
    </row>
  </sheetData>
  <autoFilter ref="A2:S81" xr:uid="{00000000-0009-0000-0000-000008000000}"/>
  <mergeCells count="9">
    <mergeCell ref="A79:D79"/>
    <mergeCell ref="E79:G79"/>
    <mergeCell ref="H79:I79"/>
    <mergeCell ref="J79:K79"/>
    <mergeCell ref="A1:K1"/>
    <mergeCell ref="A78:D78"/>
    <mergeCell ref="E78:G78"/>
    <mergeCell ref="H78:I78"/>
    <mergeCell ref="J78:K78"/>
  </mergeCells>
  <phoneticPr fontId="54" type="noConversion"/>
  <conditionalFormatting sqref="A2:C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{E21318A1-312A-47C8-8742-5CF41B710920}</x14:id>
        </ext>
      </extLst>
    </cfRule>
  </conditionalFormatting>
  <conditionalFormatting sqref="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{532291A0-1557-4B1C-A346-4B0822B26906}</x14:id>
        </ext>
      </extLst>
    </cfRule>
  </conditionalFormatting>
  <conditionalFormatting sqref="E2:I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{BA381856-816D-4062-9BF0-CBB30F36B4DC}</x14:id>
        </ext>
      </extLst>
    </cfRule>
  </conditionalFormatting>
  <conditionalFormatting sqref="J2:K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{D0DA38D1-FE3F-44C0-8857-6CEAED5ABE5C}</x14:id>
        </ext>
      </extLst>
    </cfRule>
  </conditionalFormatting>
  <pageMargins left="0.31496062992125984" right="0.11811023622047245" top="0.15748031496062992" bottom="0" header="0.31496062992125984" footer="0.31496062992125984"/>
  <pageSetup paperSize="9" scale="65" fitToHeight="0" orientation="portrait" verticalDpi="18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1318A1-312A-47C8-8742-5CF41B710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A2:C2</xm:sqref>
        </x14:conditionalFormatting>
        <x14:conditionalFormatting xmlns:xm="http://schemas.microsoft.com/office/excel/2006/main">
          <x14:cfRule type="dataBar" id="{532291A0-1557-4B1C-A346-4B0822B26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BA381856-816D-4062-9BF0-CBB30F36B4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E2:I2</xm:sqref>
        </x14:conditionalFormatting>
        <x14:conditionalFormatting xmlns:xm="http://schemas.microsoft.com/office/excel/2006/main">
          <x14:cfRule type="dataBar" id="{D0DA38D1-FE3F-44C0-8857-6CEAED5AB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J2:K2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61A4-E802-4775-994B-436F897E5F93}">
  <sheetPr>
    <pageSetUpPr fitToPage="1"/>
  </sheetPr>
  <dimension ref="A1:U88"/>
  <sheetViews>
    <sheetView tabSelected="1" zoomScale="80" zoomScaleNormal="80" zoomScaleSheetLayoutView="90" workbookViewId="0">
      <pane ySplit="2" topLeftCell="A3" activePane="bottomLeft" state="frozen"/>
      <selection pane="bottomLeft" activeCell="Z11" sqref="Z11"/>
    </sheetView>
  </sheetViews>
  <sheetFormatPr defaultRowHeight="15.75"/>
  <cols>
    <col min="1" max="1" width="7.25" style="19" customWidth="1"/>
    <col min="2" max="2" width="12.125" style="19" customWidth="1"/>
    <col min="3" max="3" width="13.5" style="21" customWidth="1"/>
    <col min="4" max="4" width="9.875" style="21" customWidth="1"/>
    <col min="5" max="5" width="14.625" style="21" bestFit="1" customWidth="1"/>
    <col min="6" max="6" width="7.5" style="21" customWidth="1"/>
    <col min="7" max="7" width="14" style="39" customWidth="1"/>
    <col min="8" max="8" width="12.75" style="21" customWidth="1"/>
    <col min="9" max="9" width="14.5" style="21" customWidth="1"/>
    <col min="10" max="10" width="20.25" style="21" customWidth="1"/>
    <col min="11" max="11" width="14.75" style="19" customWidth="1"/>
    <col min="12" max="12" width="14.75" style="19" hidden="1" customWidth="1"/>
    <col min="13" max="13" width="9" style="19"/>
    <col min="14" max="14" width="9" style="202" hidden="1" customWidth="1"/>
    <col min="15" max="15" width="46.625" style="19" hidden="1" customWidth="1"/>
    <col min="16" max="16" width="14.375" style="19" hidden="1" customWidth="1"/>
    <col min="17" max="17" width="9" style="19" hidden="1" customWidth="1"/>
    <col min="18" max="19" width="15.25" style="41" hidden="1" customWidth="1"/>
    <col min="20" max="20" width="13" style="41" hidden="1" customWidth="1"/>
    <col min="21" max="21" width="9" style="19" hidden="1" customWidth="1"/>
    <col min="22" max="22" width="9" style="19" customWidth="1"/>
    <col min="23" max="16384" width="9" style="19"/>
  </cols>
  <sheetData>
    <row r="1" spans="1:21" ht="33.75" customHeight="1">
      <c r="A1" s="195" t="s">
        <v>549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P1" s="19">
        <f>SUBTOTAL(3,P3:P77)</f>
        <v>75</v>
      </c>
    </row>
    <row r="2" spans="1:21" s="28" customFormat="1" ht="27" customHeight="1">
      <c r="A2" s="4" t="s">
        <v>5</v>
      </c>
      <c r="B2" s="4" t="s">
        <v>7</v>
      </c>
      <c r="C2" s="4" t="s">
        <v>4</v>
      </c>
      <c r="D2" s="4" t="s">
        <v>8</v>
      </c>
      <c r="E2" s="4" t="s">
        <v>3</v>
      </c>
      <c r="F2" s="4" t="s">
        <v>9</v>
      </c>
      <c r="G2" s="11" t="s">
        <v>2</v>
      </c>
      <c r="H2" s="4" t="s">
        <v>10</v>
      </c>
      <c r="I2" s="4" t="s">
        <v>11</v>
      </c>
      <c r="J2" s="200" t="s">
        <v>552</v>
      </c>
      <c r="K2" s="206" t="s">
        <v>1</v>
      </c>
      <c r="L2" s="206" t="s">
        <v>555</v>
      </c>
      <c r="M2" s="28" t="s">
        <v>26</v>
      </c>
      <c r="N2" s="203" t="s">
        <v>271</v>
      </c>
      <c r="O2" s="19" t="s">
        <v>272</v>
      </c>
      <c r="P2" s="28" t="s">
        <v>273</v>
      </c>
      <c r="Q2" s="28" t="s">
        <v>274</v>
      </c>
      <c r="R2" s="43" t="s">
        <v>507</v>
      </c>
      <c r="S2" s="43" t="s">
        <v>550</v>
      </c>
      <c r="T2" s="43" t="s">
        <v>551</v>
      </c>
      <c r="U2" s="28" t="s">
        <v>271</v>
      </c>
    </row>
    <row r="3" spans="1:21" ht="27.75" customHeight="1">
      <c r="A3" s="17">
        <v>1</v>
      </c>
      <c r="B3" s="18" t="s">
        <v>44</v>
      </c>
      <c r="C3" s="8" t="s">
        <v>91</v>
      </c>
      <c r="D3" s="1" t="s">
        <v>15</v>
      </c>
      <c r="E3" s="7">
        <v>100000</v>
      </c>
      <c r="F3" s="6">
        <v>3</v>
      </c>
      <c r="G3" s="12">
        <f>E3*F3</f>
        <v>300000</v>
      </c>
      <c r="H3" s="1" t="s">
        <v>255</v>
      </c>
      <c r="I3" s="1" t="s">
        <v>279</v>
      </c>
      <c r="J3" s="2">
        <v>114184</v>
      </c>
      <c r="K3" s="3">
        <v>-79651</v>
      </c>
      <c r="L3" s="3">
        <f>300000-55482-(-4155)-121529-39437-43298-9876-J3</f>
        <v>-79651</v>
      </c>
      <c r="M3" s="94" t="s">
        <v>26</v>
      </c>
      <c r="N3" s="204" t="s">
        <v>75</v>
      </c>
      <c r="O3" s="78" t="s">
        <v>333</v>
      </c>
      <c r="P3" s="19" t="s">
        <v>101</v>
      </c>
      <c r="Q3" s="19" t="s">
        <v>246</v>
      </c>
      <c r="R3" s="41">
        <v>34533</v>
      </c>
      <c r="S3" s="41">
        <v>114184</v>
      </c>
      <c r="T3" s="41">
        <f>R3-S3</f>
        <v>-79651</v>
      </c>
      <c r="U3" s="19" t="str">
        <f>IF(L3=T3,"O","X")</f>
        <v>O</v>
      </c>
    </row>
    <row r="4" spans="1:21" ht="27.75" customHeight="1">
      <c r="A4" s="17">
        <v>2</v>
      </c>
      <c r="B4" s="18" t="s">
        <v>44</v>
      </c>
      <c r="C4" s="8" t="s">
        <v>275</v>
      </c>
      <c r="D4" s="1" t="s">
        <v>24</v>
      </c>
      <c r="E4" s="7">
        <v>300000</v>
      </c>
      <c r="F4" s="6">
        <v>1</v>
      </c>
      <c r="G4" s="12">
        <f t="shared" ref="G4:G77" si="0">E4*F4</f>
        <v>300000</v>
      </c>
      <c r="H4" s="1" t="s">
        <v>300</v>
      </c>
      <c r="I4" s="1" t="s">
        <v>476</v>
      </c>
      <c r="J4" s="2">
        <v>37784</v>
      </c>
      <c r="K4" s="3">
        <v>-20161</v>
      </c>
      <c r="L4" s="3">
        <f>300000-41677-240700</f>
        <v>17623</v>
      </c>
      <c r="M4" s="94" t="s">
        <v>26</v>
      </c>
      <c r="N4" s="204" t="s">
        <v>75</v>
      </c>
      <c r="O4" s="151" t="s">
        <v>477</v>
      </c>
      <c r="P4" s="19" t="s">
        <v>179</v>
      </c>
      <c r="Q4" s="19" t="s">
        <v>247</v>
      </c>
      <c r="R4" s="41">
        <v>17623</v>
      </c>
      <c r="S4" s="41">
        <v>37784</v>
      </c>
      <c r="T4" s="41">
        <f t="shared" ref="T4:T68" si="1">R4-S4</f>
        <v>-20161</v>
      </c>
      <c r="U4" s="19" t="str">
        <f t="shared" ref="U4:U68" si="2">IF(L4=T4,"O","X")</f>
        <v>X</v>
      </c>
    </row>
    <row r="5" spans="1:21" ht="27.75" customHeight="1">
      <c r="A5" s="17">
        <v>3</v>
      </c>
      <c r="B5" s="14" t="s">
        <v>40</v>
      </c>
      <c r="C5" s="13" t="s">
        <v>230</v>
      </c>
      <c r="D5" s="1" t="s">
        <v>24</v>
      </c>
      <c r="E5" s="7">
        <v>150000</v>
      </c>
      <c r="F5" s="6">
        <v>6</v>
      </c>
      <c r="G5" s="12">
        <f t="shared" si="0"/>
        <v>900000</v>
      </c>
      <c r="H5" s="1" t="s">
        <v>292</v>
      </c>
      <c r="I5" s="1" t="s">
        <v>390</v>
      </c>
      <c r="J5" s="2">
        <v>172805</v>
      </c>
      <c r="K5" s="3">
        <v>544455</v>
      </c>
      <c r="L5" s="3">
        <f>900000-73127-23300-86313</f>
        <v>717260</v>
      </c>
      <c r="M5" s="104" t="s">
        <v>389</v>
      </c>
      <c r="N5" s="204" t="s">
        <v>75</v>
      </c>
      <c r="O5" s="104" t="s">
        <v>388</v>
      </c>
      <c r="P5" s="19" t="s">
        <v>102</v>
      </c>
      <c r="Q5" s="19" t="s">
        <v>246</v>
      </c>
      <c r="R5" s="41">
        <v>717260</v>
      </c>
      <c r="S5" s="41">
        <v>172805</v>
      </c>
      <c r="T5" s="41">
        <f t="shared" si="1"/>
        <v>544455</v>
      </c>
      <c r="U5" s="19" t="str">
        <f t="shared" si="2"/>
        <v>X</v>
      </c>
    </row>
    <row r="6" spans="1:21" ht="27.75" customHeight="1">
      <c r="A6" s="17">
        <v>4</v>
      </c>
      <c r="B6" s="14" t="s">
        <v>17</v>
      </c>
      <c r="C6" s="13" t="s">
        <v>319</v>
      </c>
      <c r="D6" s="1" t="s">
        <v>24</v>
      </c>
      <c r="E6" s="7">
        <v>100000</v>
      </c>
      <c r="F6" s="6">
        <v>3</v>
      </c>
      <c r="G6" s="12">
        <f t="shared" si="0"/>
        <v>300000</v>
      </c>
      <c r="H6" s="248" t="s">
        <v>437</v>
      </c>
      <c r="I6" s="248" t="s">
        <v>399</v>
      </c>
      <c r="J6" s="2">
        <v>5606</v>
      </c>
      <c r="K6" s="3">
        <v>263283</v>
      </c>
      <c r="L6" s="3">
        <f>11726+300000-42837</f>
        <v>268889</v>
      </c>
      <c r="M6" s="250" t="s">
        <v>535</v>
      </c>
      <c r="N6" s="204" t="s">
        <v>75</v>
      </c>
      <c r="O6" s="201" t="s">
        <v>536</v>
      </c>
      <c r="P6" s="19" t="s">
        <v>135</v>
      </c>
      <c r="Q6" s="19" t="s">
        <v>247</v>
      </c>
      <c r="R6" s="41">
        <v>268889</v>
      </c>
      <c r="S6" s="41">
        <v>5606</v>
      </c>
      <c r="T6" s="41">
        <f t="shared" si="1"/>
        <v>263283</v>
      </c>
      <c r="U6" s="19" t="str">
        <f t="shared" si="2"/>
        <v>X</v>
      </c>
    </row>
    <row r="7" spans="1:21" ht="27.75" customHeight="1">
      <c r="A7" s="17">
        <v>5</v>
      </c>
      <c r="B7" s="16" t="s">
        <v>45</v>
      </c>
      <c r="C7" s="9" t="s">
        <v>320</v>
      </c>
      <c r="D7" s="1" t="s">
        <v>24</v>
      </c>
      <c r="E7" s="7">
        <v>100000</v>
      </c>
      <c r="F7" s="6">
        <v>3</v>
      </c>
      <c r="G7" s="12">
        <f t="shared" si="0"/>
        <v>300000</v>
      </c>
      <c r="H7" s="89" t="s">
        <v>70</v>
      </c>
      <c r="I7" s="89" t="s">
        <v>69</v>
      </c>
      <c r="J7" s="2">
        <v>5900</v>
      </c>
      <c r="K7" s="3">
        <v>71037</v>
      </c>
      <c r="L7" s="3">
        <f>300000-110880-13703+275-983-2667-76360-1515-284-(-402)-0-9293-0-336-0-(-1859)-13352-(-3774)</f>
        <v>76937</v>
      </c>
      <c r="N7" s="204" t="s">
        <v>75</v>
      </c>
      <c r="O7" s="171" t="s">
        <v>510</v>
      </c>
      <c r="P7" s="19" t="s">
        <v>124</v>
      </c>
      <c r="Q7" s="19" t="s">
        <v>248</v>
      </c>
      <c r="R7" s="41">
        <v>76937</v>
      </c>
      <c r="S7" s="41">
        <v>5900</v>
      </c>
      <c r="T7" s="41">
        <f t="shared" si="1"/>
        <v>71037</v>
      </c>
      <c r="U7" s="19" t="str">
        <f t="shared" si="2"/>
        <v>X</v>
      </c>
    </row>
    <row r="8" spans="1:21" ht="27.75" customHeight="1">
      <c r="A8" s="17">
        <v>6</v>
      </c>
      <c r="B8" s="16" t="s">
        <v>45</v>
      </c>
      <c r="C8" s="9" t="s">
        <v>321</v>
      </c>
      <c r="D8" s="1" t="s">
        <v>24</v>
      </c>
      <c r="E8" s="7">
        <v>300000</v>
      </c>
      <c r="F8" s="6">
        <v>1</v>
      </c>
      <c r="G8" s="12">
        <f t="shared" si="0"/>
        <v>300000</v>
      </c>
      <c r="H8" s="89" t="s">
        <v>69</v>
      </c>
      <c r="I8" s="89" t="s">
        <v>384</v>
      </c>
      <c r="J8" s="2">
        <v>0</v>
      </c>
      <c r="K8" s="3">
        <v>186125</v>
      </c>
      <c r="L8" s="3">
        <f>12197+300000-6426-118879-0-(-13440)-7497-95-6615</f>
        <v>186125</v>
      </c>
      <c r="N8" s="204" t="s">
        <v>75</v>
      </c>
      <c r="O8" s="171" t="s">
        <v>511</v>
      </c>
      <c r="P8" s="19" t="s">
        <v>103</v>
      </c>
      <c r="Q8" s="169" t="s">
        <v>312</v>
      </c>
      <c r="R8" s="41">
        <v>186125</v>
      </c>
      <c r="S8" s="41">
        <v>0</v>
      </c>
      <c r="T8" s="41">
        <f t="shared" si="1"/>
        <v>186125</v>
      </c>
      <c r="U8" s="19" t="str">
        <f t="shared" si="2"/>
        <v>O</v>
      </c>
    </row>
    <row r="9" spans="1:21" ht="27.75" customHeight="1">
      <c r="A9" s="17">
        <v>7</v>
      </c>
      <c r="B9" s="14" t="s">
        <v>17</v>
      </c>
      <c r="C9" s="13" t="s">
        <v>282</v>
      </c>
      <c r="D9" s="1" t="s">
        <v>24</v>
      </c>
      <c r="E9" s="7">
        <v>100000</v>
      </c>
      <c r="F9" s="6">
        <v>3</v>
      </c>
      <c r="G9" s="12">
        <f t="shared" si="0"/>
        <v>300000</v>
      </c>
      <c r="H9" s="248" t="s">
        <v>495</v>
      </c>
      <c r="I9" s="248" t="s">
        <v>476</v>
      </c>
      <c r="J9" s="2">
        <v>42484</v>
      </c>
      <c r="K9" s="3">
        <v>117699</v>
      </c>
      <c r="L9" s="3">
        <f>300000-34860-J9</f>
        <v>222656</v>
      </c>
      <c r="M9" s="250" t="s">
        <v>493</v>
      </c>
      <c r="N9" s="204" t="s">
        <v>75</v>
      </c>
      <c r="O9" s="201" t="s">
        <v>496</v>
      </c>
      <c r="P9" s="19" t="s">
        <v>104</v>
      </c>
      <c r="Q9" s="19" t="s">
        <v>248</v>
      </c>
      <c r="R9" s="41">
        <v>160183</v>
      </c>
      <c r="S9" s="41">
        <v>42484</v>
      </c>
      <c r="T9" s="41">
        <f t="shared" si="1"/>
        <v>117699</v>
      </c>
      <c r="U9" s="19" t="str">
        <f t="shared" si="2"/>
        <v>X</v>
      </c>
    </row>
    <row r="10" spans="1:21" ht="27.75" customHeight="1">
      <c r="A10" s="17">
        <v>8</v>
      </c>
      <c r="B10" s="14" t="s">
        <v>40</v>
      </c>
      <c r="C10" s="13" t="s">
        <v>199</v>
      </c>
      <c r="D10" s="1" t="s">
        <v>24</v>
      </c>
      <c r="E10" s="7">
        <v>100000</v>
      </c>
      <c r="F10" s="6">
        <v>3</v>
      </c>
      <c r="G10" s="12">
        <f t="shared" si="0"/>
        <v>300000</v>
      </c>
      <c r="H10" s="1" t="s">
        <v>300</v>
      </c>
      <c r="I10" s="1" t="s">
        <v>476</v>
      </c>
      <c r="J10" s="2">
        <v>20383</v>
      </c>
      <c r="K10" s="3">
        <v>151653</v>
      </c>
      <c r="L10" s="3">
        <f>20777+300000-115450-33291</f>
        <v>172036</v>
      </c>
      <c r="M10" s="153" t="s">
        <v>483</v>
      </c>
      <c r="N10" s="204" t="s">
        <v>75</v>
      </c>
      <c r="O10" s="157" t="s">
        <v>490</v>
      </c>
      <c r="P10" s="19" t="s">
        <v>105</v>
      </c>
      <c r="Q10" s="169" t="s">
        <v>312</v>
      </c>
      <c r="R10" s="41">
        <v>172036</v>
      </c>
      <c r="S10" s="41">
        <v>20383</v>
      </c>
      <c r="T10" s="41">
        <f t="shared" si="1"/>
        <v>151653</v>
      </c>
      <c r="U10" s="19" t="str">
        <f t="shared" si="2"/>
        <v>X</v>
      </c>
    </row>
    <row r="11" spans="1:21" ht="27.75" customHeight="1">
      <c r="A11" s="17">
        <v>9</v>
      </c>
      <c r="B11" s="14" t="s">
        <v>17</v>
      </c>
      <c r="C11" s="13" t="s">
        <v>96</v>
      </c>
      <c r="D11" s="1" t="s">
        <v>25</v>
      </c>
      <c r="E11" s="7">
        <v>50000</v>
      </c>
      <c r="F11" s="6">
        <v>6</v>
      </c>
      <c r="G11" s="12">
        <f t="shared" si="0"/>
        <v>300000</v>
      </c>
      <c r="H11" s="249" t="s">
        <v>437</v>
      </c>
      <c r="I11" s="249" t="s">
        <v>498</v>
      </c>
      <c r="J11" s="2">
        <v>5737</v>
      </c>
      <c r="K11" s="3">
        <v>257698</v>
      </c>
      <c r="L11" s="3">
        <f>300000-36565</f>
        <v>263435</v>
      </c>
      <c r="M11" s="251" t="s">
        <v>499</v>
      </c>
      <c r="N11" s="204" t="s">
        <v>75</v>
      </c>
      <c r="O11" s="201" t="s">
        <v>500</v>
      </c>
      <c r="P11" s="19" t="s">
        <v>154</v>
      </c>
      <c r="Q11" s="169" t="s">
        <v>312</v>
      </c>
      <c r="R11" s="41">
        <v>263435</v>
      </c>
      <c r="S11" s="41">
        <v>5737</v>
      </c>
      <c r="T11" s="41">
        <f t="shared" si="1"/>
        <v>257698</v>
      </c>
      <c r="U11" s="19" t="str">
        <f t="shared" si="2"/>
        <v>X</v>
      </c>
    </row>
    <row r="12" spans="1:21" ht="27.75" customHeight="1">
      <c r="A12" s="17">
        <v>10</v>
      </c>
      <c r="B12" s="14" t="s">
        <v>40</v>
      </c>
      <c r="C12" s="13" t="s">
        <v>92</v>
      </c>
      <c r="D12" s="1" t="s">
        <v>25</v>
      </c>
      <c r="E12" s="7">
        <v>50000</v>
      </c>
      <c r="F12" s="6">
        <v>6</v>
      </c>
      <c r="G12" s="12">
        <f t="shared" si="0"/>
        <v>300000</v>
      </c>
      <c r="H12" s="1" t="s">
        <v>74</v>
      </c>
      <c r="I12" s="1" t="s">
        <v>218</v>
      </c>
      <c r="J12" s="2">
        <v>0</v>
      </c>
      <c r="K12" s="3">
        <v>103617</v>
      </c>
      <c r="L12" s="3">
        <f>62665+325825-138490-(-1302)-3503-48038-2835-13986-10080-1033-(-504)-43050-25664</f>
        <v>103617</v>
      </c>
      <c r="N12" s="204" t="s">
        <v>75</v>
      </c>
      <c r="O12" s="19" t="s">
        <v>209</v>
      </c>
      <c r="P12" s="19" t="s">
        <v>106</v>
      </c>
      <c r="Q12" s="169" t="s">
        <v>503</v>
      </c>
      <c r="R12" s="41">
        <v>103617</v>
      </c>
      <c r="S12" s="41">
        <v>0</v>
      </c>
      <c r="T12" s="41">
        <f t="shared" si="1"/>
        <v>103617</v>
      </c>
      <c r="U12" s="19" t="str">
        <f t="shared" si="2"/>
        <v>O</v>
      </c>
    </row>
    <row r="13" spans="1:21" ht="27.75" customHeight="1">
      <c r="A13" s="17">
        <v>11</v>
      </c>
      <c r="B13" s="18" t="s">
        <v>44</v>
      </c>
      <c r="C13" s="8" t="s">
        <v>94</v>
      </c>
      <c r="D13" s="1" t="s">
        <v>25</v>
      </c>
      <c r="E13" s="7">
        <v>50000</v>
      </c>
      <c r="F13" s="6">
        <v>6</v>
      </c>
      <c r="G13" s="12">
        <f t="shared" si="0"/>
        <v>300000</v>
      </c>
      <c r="H13" s="1" t="s">
        <v>50</v>
      </c>
      <c r="I13" s="1" t="s">
        <v>67</v>
      </c>
      <c r="J13" s="2">
        <v>35100</v>
      </c>
      <c r="K13" s="3">
        <v>-35100</v>
      </c>
      <c r="L13" s="3">
        <f>-1638+1638</f>
        <v>0</v>
      </c>
      <c r="M13" s="94" t="s">
        <v>26</v>
      </c>
      <c r="N13" s="204" t="s">
        <v>75</v>
      </c>
      <c r="O13" s="149" t="s">
        <v>471</v>
      </c>
      <c r="P13" s="19" t="s">
        <v>153</v>
      </c>
      <c r="Q13" s="169" t="s">
        <v>312</v>
      </c>
      <c r="R13" s="41">
        <v>0</v>
      </c>
      <c r="S13" s="41">
        <v>35100</v>
      </c>
      <c r="T13" s="41">
        <f t="shared" si="1"/>
        <v>-35100</v>
      </c>
      <c r="U13" s="19" t="str">
        <f t="shared" si="2"/>
        <v>X</v>
      </c>
    </row>
    <row r="14" spans="1:21" ht="27.75" customHeight="1">
      <c r="A14" s="17">
        <v>12</v>
      </c>
      <c r="B14" s="14" t="s">
        <v>40</v>
      </c>
      <c r="C14" s="13" t="s">
        <v>208</v>
      </c>
      <c r="D14" s="1" t="s">
        <v>15</v>
      </c>
      <c r="E14" s="7">
        <v>100000</v>
      </c>
      <c r="F14" s="6">
        <v>4</v>
      </c>
      <c r="G14" s="12">
        <f t="shared" si="0"/>
        <v>400000</v>
      </c>
      <c r="H14" s="1" t="s">
        <v>215</v>
      </c>
      <c r="I14" s="1" t="s">
        <v>216</v>
      </c>
      <c r="J14" s="2">
        <v>-1360</v>
      </c>
      <c r="K14" s="3">
        <v>178060</v>
      </c>
      <c r="L14" s="3">
        <f>40795+400000-59317-2730-3-(-337)-66864-7508-12075-0-15939-6300-69258-26158-(-1720)</f>
        <v>176700</v>
      </c>
      <c r="N14" s="204" t="s">
        <v>75</v>
      </c>
      <c r="O14" s="19" t="s">
        <v>213</v>
      </c>
      <c r="P14" s="19" t="s">
        <v>149</v>
      </c>
      <c r="Q14" s="19" t="s">
        <v>246</v>
      </c>
      <c r="R14" s="41">
        <v>176700</v>
      </c>
      <c r="S14" s="41">
        <v>-1360</v>
      </c>
      <c r="T14" s="41">
        <f t="shared" si="1"/>
        <v>178060</v>
      </c>
      <c r="U14" s="19" t="str">
        <f t="shared" si="2"/>
        <v>X</v>
      </c>
    </row>
    <row r="15" spans="1:21" ht="27.75" customHeight="1">
      <c r="A15" s="17">
        <v>13</v>
      </c>
      <c r="B15" s="14" t="s">
        <v>40</v>
      </c>
      <c r="C15" s="13" t="s">
        <v>322</v>
      </c>
      <c r="D15" s="1" t="s">
        <v>24</v>
      </c>
      <c r="E15" s="7">
        <v>100000</v>
      </c>
      <c r="F15" s="6">
        <v>2</v>
      </c>
      <c r="G15" s="12">
        <f t="shared" si="0"/>
        <v>200000</v>
      </c>
      <c r="H15" s="1" t="s">
        <v>201</v>
      </c>
      <c r="I15" s="1" t="s">
        <v>217</v>
      </c>
      <c r="J15" s="2">
        <v>0</v>
      </c>
      <c r="K15" s="3">
        <v>197642</v>
      </c>
      <c r="L15" s="3">
        <f>-(-7344)+200000-9702-J15</f>
        <v>197642</v>
      </c>
      <c r="N15" s="204" t="s">
        <v>75</v>
      </c>
      <c r="O15" s="19" t="s">
        <v>214</v>
      </c>
      <c r="P15" s="19" t="s">
        <v>152</v>
      </c>
      <c r="Q15" s="19" t="s">
        <v>246</v>
      </c>
      <c r="R15" s="41">
        <v>197642</v>
      </c>
      <c r="S15" s="41">
        <v>0</v>
      </c>
      <c r="T15" s="41">
        <f t="shared" si="1"/>
        <v>197642</v>
      </c>
      <c r="U15" s="19" t="str">
        <f t="shared" si="2"/>
        <v>O</v>
      </c>
    </row>
    <row r="16" spans="1:21" ht="27.75" customHeight="1">
      <c r="A16" s="17">
        <v>14</v>
      </c>
      <c r="B16" s="18" t="s">
        <v>44</v>
      </c>
      <c r="C16" s="8" t="s">
        <v>180</v>
      </c>
      <c r="D16" s="1" t="s">
        <v>25</v>
      </c>
      <c r="E16" s="7">
        <v>50000</v>
      </c>
      <c r="F16" s="6">
        <v>6</v>
      </c>
      <c r="G16" s="12">
        <f t="shared" si="0"/>
        <v>300000</v>
      </c>
      <c r="H16" s="1" t="s">
        <v>74</v>
      </c>
      <c r="I16" s="1" t="s">
        <v>218</v>
      </c>
      <c r="J16" s="2">
        <v>78954</v>
      </c>
      <c r="K16" s="3">
        <v>-2923</v>
      </c>
      <c r="L16" s="3">
        <f>300000-19677-24570-5114-5027-17277-0-52504-11933-3910-18970-64987</f>
        <v>76031</v>
      </c>
      <c r="M16" s="94" t="s">
        <v>26</v>
      </c>
      <c r="N16" s="204" t="s">
        <v>75</v>
      </c>
      <c r="O16" s="19" t="s">
        <v>220</v>
      </c>
      <c r="P16" s="19" t="s">
        <v>137</v>
      </c>
      <c r="Q16" s="19" t="s">
        <v>247</v>
      </c>
      <c r="R16" s="41">
        <v>76031</v>
      </c>
      <c r="S16" s="41">
        <v>78954</v>
      </c>
      <c r="T16" s="41">
        <f t="shared" si="1"/>
        <v>-2923</v>
      </c>
      <c r="U16" s="19" t="str">
        <f t="shared" si="2"/>
        <v>X</v>
      </c>
    </row>
    <row r="17" spans="1:21" ht="27.75" customHeight="1">
      <c r="A17" s="17">
        <v>15</v>
      </c>
      <c r="B17" s="14" t="s">
        <v>40</v>
      </c>
      <c r="C17" s="13" t="s">
        <v>259</v>
      </c>
      <c r="D17" s="1" t="s">
        <v>25</v>
      </c>
      <c r="E17" s="7">
        <v>50000</v>
      </c>
      <c r="F17" s="6">
        <v>6</v>
      </c>
      <c r="G17" s="12">
        <f t="shared" si="0"/>
        <v>300000</v>
      </c>
      <c r="H17" s="1" t="s">
        <v>279</v>
      </c>
      <c r="I17" s="1" t="s">
        <v>399</v>
      </c>
      <c r="J17" s="2">
        <v>76180</v>
      </c>
      <c r="K17" s="3">
        <v>12185</v>
      </c>
      <c r="L17" s="3">
        <f>5398+300000-41267-20021-34671-37918-72589-84246+300000-46111-65034-77765-37411</f>
        <v>88365</v>
      </c>
      <c r="M17" s="104" t="s">
        <v>394</v>
      </c>
      <c r="N17" s="204" t="s">
        <v>75</v>
      </c>
      <c r="O17" s="111" t="s">
        <v>401</v>
      </c>
      <c r="P17" s="19" t="s">
        <v>151</v>
      </c>
      <c r="Q17" s="19" t="s">
        <v>247</v>
      </c>
      <c r="R17" s="41">
        <v>88365</v>
      </c>
      <c r="S17" s="41">
        <v>76180</v>
      </c>
      <c r="T17" s="41">
        <f t="shared" si="1"/>
        <v>12185</v>
      </c>
      <c r="U17" s="19" t="str">
        <f t="shared" si="2"/>
        <v>X</v>
      </c>
    </row>
    <row r="18" spans="1:21" ht="27.75" customHeight="1">
      <c r="A18" s="17">
        <v>16</v>
      </c>
      <c r="B18" s="14" t="s">
        <v>40</v>
      </c>
      <c r="C18" s="13" t="s">
        <v>181</v>
      </c>
      <c r="D18" s="1" t="s">
        <v>24</v>
      </c>
      <c r="E18" s="7">
        <v>100000</v>
      </c>
      <c r="F18" s="6">
        <v>3</v>
      </c>
      <c r="G18" s="12">
        <f t="shared" si="0"/>
        <v>300000</v>
      </c>
      <c r="H18" s="1" t="s">
        <v>279</v>
      </c>
      <c r="I18" s="1" t="s">
        <v>300</v>
      </c>
      <c r="J18" s="2">
        <v>5010</v>
      </c>
      <c r="K18" s="3">
        <v>15394</v>
      </c>
      <c r="L18" s="3">
        <f>26337-39367+300000-139673+13030-61529-62368-16026</f>
        <v>20404</v>
      </c>
      <c r="M18" s="107" t="s">
        <v>375</v>
      </c>
      <c r="N18" s="204" t="s">
        <v>75</v>
      </c>
      <c r="O18" s="48" t="s">
        <v>288</v>
      </c>
      <c r="P18" s="19" t="s">
        <v>155</v>
      </c>
      <c r="Q18" s="19" t="s">
        <v>248</v>
      </c>
      <c r="R18" s="41">
        <v>20404</v>
      </c>
      <c r="S18" s="41">
        <v>5010</v>
      </c>
      <c r="T18" s="41">
        <f t="shared" si="1"/>
        <v>15394</v>
      </c>
      <c r="U18" s="19" t="str">
        <f t="shared" si="2"/>
        <v>X</v>
      </c>
    </row>
    <row r="19" spans="1:21" ht="27.75" customHeight="1">
      <c r="A19" s="17">
        <v>17</v>
      </c>
      <c r="B19" s="18" t="s">
        <v>44</v>
      </c>
      <c r="C19" s="8" t="s">
        <v>173</v>
      </c>
      <c r="D19" s="1" t="s">
        <v>25</v>
      </c>
      <c r="E19" s="7">
        <v>50000</v>
      </c>
      <c r="F19" s="6">
        <v>6</v>
      </c>
      <c r="G19" s="12">
        <f t="shared" si="0"/>
        <v>300000</v>
      </c>
      <c r="H19" s="87" t="s">
        <v>255</v>
      </c>
      <c r="I19" s="1" t="s">
        <v>269</v>
      </c>
      <c r="J19" s="2">
        <v>25932</v>
      </c>
      <c r="K19" s="3">
        <v>-25932</v>
      </c>
      <c r="L19" s="3">
        <f>64639+300000-141919-27715-50376-65175-29119-58969+8634</f>
        <v>0</v>
      </c>
      <c r="M19" s="94" t="s">
        <v>26</v>
      </c>
      <c r="N19" s="204" t="s">
        <v>75</v>
      </c>
      <c r="O19" s="83" t="s">
        <v>339</v>
      </c>
      <c r="P19" s="19" t="s">
        <v>107</v>
      </c>
      <c r="Q19" s="19" t="s">
        <v>248</v>
      </c>
      <c r="R19" s="41">
        <v>0</v>
      </c>
      <c r="S19" s="41">
        <v>25932</v>
      </c>
      <c r="T19" s="41">
        <f t="shared" si="1"/>
        <v>-25932</v>
      </c>
      <c r="U19" s="19" t="str">
        <f t="shared" si="2"/>
        <v>X</v>
      </c>
    </row>
    <row r="20" spans="1:21" ht="27.75" customHeight="1">
      <c r="A20" s="17">
        <v>18</v>
      </c>
      <c r="B20" s="14" t="s">
        <v>40</v>
      </c>
      <c r="C20" s="13" t="s">
        <v>182</v>
      </c>
      <c r="D20" s="1" t="s">
        <v>15</v>
      </c>
      <c r="E20" s="7">
        <v>100000</v>
      </c>
      <c r="F20" s="6">
        <v>3</v>
      </c>
      <c r="G20" s="12">
        <f t="shared" si="0"/>
        <v>300000</v>
      </c>
      <c r="H20" s="1" t="s">
        <v>292</v>
      </c>
      <c r="I20" s="1" t="s">
        <v>390</v>
      </c>
      <c r="J20" s="22">
        <v>35248</v>
      </c>
      <c r="K20" s="3">
        <v>287890</v>
      </c>
      <c r="L20" s="3">
        <f>600000-43172-88427-145263</f>
        <v>323138</v>
      </c>
      <c r="M20" s="174" t="s">
        <v>404</v>
      </c>
      <c r="N20" s="204" t="s">
        <v>75</v>
      </c>
      <c r="O20" s="112" t="s">
        <v>403</v>
      </c>
      <c r="P20" s="19" t="s">
        <v>126</v>
      </c>
      <c r="Q20" s="34" t="s">
        <v>248</v>
      </c>
      <c r="R20" s="41">
        <v>323138</v>
      </c>
      <c r="S20" s="41">
        <v>35248</v>
      </c>
      <c r="T20" s="41">
        <f t="shared" si="1"/>
        <v>287890</v>
      </c>
      <c r="U20" s="19" t="str">
        <f t="shared" si="2"/>
        <v>X</v>
      </c>
    </row>
    <row r="21" spans="1:21" ht="27.75" customHeight="1">
      <c r="A21" s="17">
        <v>19</v>
      </c>
      <c r="B21" s="14" t="s">
        <v>17</v>
      </c>
      <c r="C21" s="13" t="s">
        <v>306</v>
      </c>
      <c r="D21" s="1" t="s">
        <v>24</v>
      </c>
      <c r="E21" s="7">
        <v>100000</v>
      </c>
      <c r="F21" s="6">
        <v>1</v>
      </c>
      <c r="G21" s="12">
        <f t="shared" si="0"/>
        <v>100000</v>
      </c>
      <c r="H21" s="1" t="s">
        <v>307</v>
      </c>
      <c r="I21" s="1" t="s">
        <v>385</v>
      </c>
      <c r="J21" s="2">
        <v>7200</v>
      </c>
      <c r="K21" s="3">
        <v>51398</v>
      </c>
      <c r="L21" s="3">
        <f>100000-18560-7812-15030-J21</f>
        <v>51398</v>
      </c>
      <c r="M21" s="93" t="s">
        <v>347</v>
      </c>
      <c r="N21" s="204" t="s">
        <v>75</v>
      </c>
      <c r="O21" s="64" t="s">
        <v>308</v>
      </c>
      <c r="P21" s="66" t="s">
        <v>313</v>
      </c>
      <c r="Q21" s="169" t="s">
        <v>503</v>
      </c>
      <c r="R21" s="41">
        <v>58598</v>
      </c>
      <c r="S21" s="41">
        <v>7200</v>
      </c>
      <c r="T21" s="41">
        <f t="shared" si="1"/>
        <v>51398</v>
      </c>
      <c r="U21" s="19" t="str">
        <f t="shared" si="2"/>
        <v>O</v>
      </c>
    </row>
    <row r="22" spans="1:21" ht="27.75" customHeight="1">
      <c r="A22" s="17">
        <v>20</v>
      </c>
      <c r="B22" s="14" t="s">
        <v>17</v>
      </c>
      <c r="C22" s="13" t="s">
        <v>231</v>
      </c>
      <c r="D22" s="1" t="s">
        <v>24</v>
      </c>
      <c r="E22" s="7">
        <v>100000</v>
      </c>
      <c r="F22" s="6">
        <v>3</v>
      </c>
      <c r="G22" s="12">
        <f t="shared" si="0"/>
        <v>300000</v>
      </c>
      <c r="H22" s="1" t="s">
        <v>292</v>
      </c>
      <c r="I22" s="1" t="s">
        <v>437</v>
      </c>
      <c r="J22" s="2">
        <v>11711</v>
      </c>
      <c r="K22" s="3">
        <v>160792</v>
      </c>
      <c r="L22" s="3">
        <f>107380-196351+300000-12713-25813</f>
        <v>172503</v>
      </c>
      <c r="M22" s="144" t="s">
        <v>456</v>
      </c>
      <c r="N22" s="204" t="s">
        <v>75</v>
      </c>
      <c r="O22" s="145" t="s">
        <v>457</v>
      </c>
      <c r="P22" s="19" t="s">
        <v>166</v>
      </c>
      <c r="Q22" s="19" t="s">
        <v>248</v>
      </c>
      <c r="R22" s="41">
        <v>172503</v>
      </c>
      <c r="S22" s="41">
        <v>11711</v>
      </c>
      <c r="T22" s="41">
        <f t="shared" si="1"/>
        <v>160792</v>
      </c>
      <c r="U22" s="19" t="str">
        <f t="shared" si="2"/>
        <v>X</v>
      </c>
    </row>
    <row r="23" spans="1:21" ht="27.75" customHeight="1">
      <c r="A23" s="17">
        <v>21</v>
      </c>
      <c r="B23" s="18" t="s">
        <v>44</v>
      </c>
      <c r="C23" s="8" t="s">
        <v>232</v>
      </c>
      <c r="D23" s="1" t="s">
        <v>15</v>
      </c>
      <c r="E23" s="7">
        <v>200000</v>
      </c>
      <c r="F23" s="6">
        <v>6</v>
      </c>
      <c r="G23" s="12">
        <f>E23*F23</f>
        <v>1200000</v>
      </c>
      <c r="H23" s="1" t="s">
        <v>202</v>
      </c>
      <c r="I23" s="1" t="s">
        <v>292</v>
      </c>
      <c r="J23" s="2">
        <v>269659</v>
      </c>
      <c r="K23" s="3">
        <v>-125753</v>
      </c>
      <c r="L23" s="3">
        <f>28769+200000*6-219109-241221-133770-68149-49980-138647-112619-121368</f>
        <v>143906</v>
      </c>
      <c r="M23" s="94" t="s">
        <v>26</v>
      </c>
      <c r="N23" s="204" t="s">
        <v>75</v>
      </c>
      <c r="O23" s="51" t="s">
        <v>293</v>
      </c>
      <c r="P23" s="19" t="s">
        <v>119</v>
      </c>
      <c r="Q23" s="19" t="s">
        <v>246</v>
      </c>
      <c r="R23" s="41">
        <v>143906</v>
      </c>
      <c r="S23" s="41">
        <v>269659</v>
      </c>
      <c r="T23" s="41">
        <f t="shared" si="1"/>
        <v>-125753</v>
      </c>
      <c r="U23" s="19" t="str">
        <f t="shared" si="2"/>
        <v>X</v>
      </c>
    </row>
    <row r="24" spans="1:21" ht="27.75" customHeight="1">
      <c r="A24" s="17">
        <v>22</v>
      </c>
      <c r="B24" s="14" t="s">
        <v>17</v>
      </c>
      <c r="C24" s="13" t="s">
        <v>97</v>
      </c>
      <c r="D24" s="1" t="s">
        <v>24</v>
      </c>
      <c r="E24" s="7">
        <v>100000</v>
      </c>
      <c r="F24" s="6">
        <v>3</v>
      </c>
      <c r="G24" s="12">
        <f t="shared" si="0"/>
        <v>300000</v>
      </c>
      <c r="H24" s="1" t="s">
        <v>292</v>
      </c>
      <c r="I24" s="1" t="s">
        <v>437</v>
      </c>
      <c r="J24" s="2">
        <v>56513</v>
      </c>
      <c r="K24" s="3">
        <v>116977</v>
      </c>
      <c r="L24" s="3">
        <f>300000-106421-2575-17514</f>
        <v>173490</v>
      </c>
      <c r="M24" s="129" t="s">
        <v>435</v>
      </c>
      <c r="N24" s="204" t="s">
        <v>75</v>
      </c>
      <c r="O24" s="130" t="s">
        <v>436</v>
      </c>
      <c r="P24" s="19" t="s">
        <v>150</v>
      </c>
      <c r="Q24" s="19" t="s">
        <v>246</v>
      </c>
      <c r="R24" s="41">
        <v>173490</v>
      </c>
      <c r="S24" s="41">
        <v>56513</v>
      </c>
      <c r="T24" s="41">
        <f t="shared" si="1"/>
        <v>116977</v>
      </c>
      <c r="U24" s="19" t="str">
        <f t="shared" si="2"/>
        <v>X</v>
      </c>
    </row>
    <row r="25" spans="1:21" ht="27.75" customHeight="1">
      <c r="A25" s="17">
        <v>23</v>
      </c>
      <c r="B25" s="14" t="s">
        <v>17</v>
      </c>
      <c r="C25" s="13" t="s">
        <v>233</v>
      </c>
      <c r="D25" s="1" t="s">
        <v>24</v>
      </c>
      <c r="E25" s="7">
        <v>100000</v>
      </c>
      <c r="F25" s="6">
        <v>3</v>
      </c>
      <c r="G25" s="12">
        <f t="shared" si="0"/>
        <v>300000</v>
      </c>
      <c r="H25" s="87" t="s">
        <v>255</v>
      </c>
      <c r="I25" s="1" t="s">
        <v>279</v>
      </c>
      <c r="J25" s="2">
        <v>11626</v>
      </c>
      <c r="K25" s="3">
        <v>288374</v>
      </c>
      <c r="L25" s="3">
        <f>300000-91585-49449-41192-37800-50505-29755+286+300000</f>
        <v>300000</v>
      </c>
      <c r="M25" s="180" t="s">
        <v>531</v>
      </c>
      <c r="N25" s="204" t="s">
        <v>75</v>
      </c>
      <c r="O25" s="181" t="s">
        <v>533</v>
      </c>
      <c r="P25" s="19" t="s">
        <v>108</v>
      </c>
      <c r="Q25" s="19" t="s">
        <v>248</v>
      </c>
      <c r="R25" s="41">
        <v>300000</v>
      </c>
      <c r="S25" s="41">
        <v>11626</v>
      </c>
      <c r="T25" s="41">
        <f t="shared" si="1"/>
        <v>288374</v>
      </c>
      <c r="U25" s="19" t="str">
        <f t="shared" si="2"/>
        <v>X</v>
      </c>
    </row>
    <row r="26" spans="1:21" ht="27.75" customHeight="1">
      <c r="A26" s="17">
        <v>24</v>
      </c>
      <c r="B26" s="14" t="s">
        <v>17</v>
      </c>
      <c r="C26" s="13" t="s">
        <v>183</v>
      </c>
      <c r="D26" s="1" t="s">
        <v>16</v>
      </c>
      <c r="E26" s="7">
        <v>50000</v>
      </c>
      <c r="F26" s="6">
        <v>6</v>
      </c>
      <c r="G26" s="12">
        <f t="shared" si="0"/>
        <v>300000</v>
      </c>
      <c r="H26" s="1" t="s">
        <v>224</v>
      </c>
      <c r="I26" s="1" t="s">
        <v>225</v>
      </c>
      <c r="J26" s="2">
        <v>45370</v>
      </c>
      <c r="K26" s="3">
        <v>145241</v>
      </c>
      <c r="L26" s="3">
        <f>-6222+6222+300000-17616-11443-4599-4735-23895-15681-(-3024)-12367-4865-17212</f>
        <v>190611</v>
      </c>
      <c r="N26" s="204" t="s">
        <v>75</v>
      </c>
      <c r="O26" s="20" t="s">
        <v>223</v>
      </c>
      <c r="P26" s="19" t="s">
        <v>113</v>
      </c>
      <c r="Q26" s="19" t="s">
        <v>248</v>
      </c>
      <c r="R26" s="41">
        <v>190611</v>
      </c>
      <c r="S26" s="41">
        <v>45370</v>
      </c>
      <c r="T26" s="41">
        <f t="shared" si="1"/>
        <v>145241</v>
      </c>
      <c r="U26" s="19" t="str">
        <f t="shared" si="2"/>
        <v>X</v>
      </c>
    </row>
    <row r="27" spans="1:21" ht="27.75" customHeight="1">
      <c r="A27" s="17">
        <v>25</v>
      </c>
      <c r="B27" s="14" t="s">
        <v>17</v>
      </c>
      <c r="C27" s="13" t="s">
        <v>234</v>
      </c>
      <c r="D27" s="1" t="s">
        <v>16</v>
      </c>
      <c r="E27" s="7">
        <v>50000</v>
      </c>
      <c r="F27" s="6">
        <v>6</v>
      </c>
      <c r="G27" s="12">
        <f t="shared" si="0"/>
        <v>300000</v>
      </c>
      <c r="H27" s="248" t="s">
        <v>562</v>
      </c>
      <c r="I27" s="249" t="s">
        <v>498</v>
      </c>
      <c r="J27" s="2">
        <v>12140</v>
      </c>
      <c r="K27" s="3">
        <v>242610</v>
      </c>
      <c r="L27" s="3">
        <f>173+300000-45423</f>
        <v>254750</v>
      </c>
      <c r="M27" s="252" t="s">
        <v>535</v>
      </c>
      <c r="N27" s="204" t="s">
        <v>75</v>
      </c>
      <c r="O27" s="201" t="s">
        <v>538</v>
      </c>
      <c r="P27" s="19" t="s">
        <v>134</v>
      </c>
      <c r="Q27" s="19" t="s">
        <v>247</v>
      </c>
      <c r="R27" s="41">
        <v>254750</v>
      </c>
      <c r="S27" s="41">
        <v>12140</v>
      </c>
      <c r="T27" s="41">
        <f t="shared" si="1"/>
        <v>242610</v>
      </c>
      <c r="U27" s="19" t="str">
        <f t="shared" si="2"/>
        <v>X</v>
      </c>
    </row>
    <row r="28" spans="1:21" ht="27.75" customHeight="1">
      <c r="A28" s="17">
        <v>26</v>
      </c>
      <c r="B28" s="14" t="s">
        <v>17</v>
      </c>
      <c r="C28" s="13" t="s">
        <v>184</v>
      </c>
      <c r="D28" s="1" t="s">
        <v>15</v>
      </c>
      <c r="E28" s="7">
        <v>100000</v>
      </c>
      <c r="F28" s="6">
        <v>6</v>
      </c>
      <c r="G28" s="12">
        <f t="shared" si="0"/>
        <v>600000</v>
      </c>
      <c r="H28" s="249" t="s">
        <v>476</v>
      </c>
      <c r="I28" s="249" t="s">
        <v>390</v>
      </c>
      <c r="J28" s="2">
        <v>200176</v>
      </c>
      <c r="K28" s="3">
        <v>99824</v>
      </c>
      <c r="L28" s="3">
        <f>300000-117740-126125-196025+139890+300000</f>
        <v>300000</v>
      </c>
      <c r="M28" s="253" t="s">
        <v>541</v>
      </c>
      <c r="N28" s="204" t="s">
        <v>75</v>
      </c>
      <c r="O28" s="201" t="s">
        <v>548</v>
      </c>
      <c r="P28" s="19" t="s">
        <v>118</v>
      </c>
      <c r="Q28" s="19" t="s">
        <v>248</v>
      </c>
      <c r="R28" s="41">
        <v>300000</v>
      </c>
      <c r="S28" s="41">
        <v>200176</v>
      </c>
      <c r="T28" s="41">
        <f t="shared" si="1"/>
        <v>99824</v>
      </c>
      <c r="U28" s="19" t="str">
        <f t="shared" si="2"/>
        <v>X</v>
      </c>
    </row>
    <row r="29" spans="1:21" ht="27.75" customHeight="1">
      <c r="A29" s="17">
        <v>27</v>
      </c>
      <c r="B29" s="18" t="s">
        <v>44</v>
      </c>
      <c r="C29" s="8" t="s">
        <v>95</v>
      </c>
      <c r="D29" s="1" t="s">
        <v>16</v>
      </c>
      <c r="E29" s="7">
        <v>50000</v>
      </c>
      <c r="F29" s="6">
        <v>5</v>
      </c>
      <c r="G29" s="12">
        <f t="shared" si="0"/>
        <v>250000</v>
      </c>
      <c r="H29" s="1" t="s">
        <v>12</v>
      </c>
      <c r="I29" s="1" t="s">
        <v>6</v>
      </c>
      <c r="J29" s="2">
        <v>0</v>
      </c>
      <c r="K29" s="3">
        <v>-47007</v>
      </c>
      <c r="L29" s="3">
        <f>0-J29</f>
        <v>0</v>
      </c>
      <c r="M29" s="94" t="s">
        <v>26</v>
      </c>
      <c r="N29" s="204" t="s">
        <v>75</v>
      </c>
      <c r="P29" s="19" t="s">
        <v>144</v>
      </c>
      <c r="Q29" s="19" t="s">
        <v>248</v>
      </c>
      <c r="R29" s="41">
        <v>-47007</v>
      </c>
      <c r="S29" s="41">
        <v>0</v>
      </c>
      <c r="T29" s="41">
        <f t="shared" si="1"/>
        <v>-47007</v>
      </c>
      <c r="U29" s="19" t="str">
        <f t="shared" si="2"/>
        <v>X</v>
      </c>
    </row>
    <row r="30" spans="1:21" ht="27.75" customHeight="1">
      <c r="A30" s="17">
        <v>28</v>
      </c>
      <c r="B30" s="16" t="s">
        <v>45</v>
      </c>
      <c r="C30" s="9" t="s">
        <v>235</v>
      </c>
      <c r="D30" s="1" t="s">
        <v>24</v>
      </c>
      <c r="E30" s="7">
        <v>100000</v>
      </c>
      <c r="F30" s="6">
        <v>3</v>
      </c>
      <c r="G30" s="12">
        <f t="shared" si="0"/>
        <v>300000</v>
      </c>
      <c r="H30" s="89" t="s">
        <v>36</v>
      </c>
      <c r="I30" s="89" t="s">
        <v>37</v>
      </c>
      <c r="J30" s="2">
        <v>7500</v>
      </c>
      <c r="K30" s="3">
        <v>144529</v>
      </c>
      <c r="L30" s="3">
        <f>300000-27106-7984+744-10032-5400-19720-15831+7454-480-9070-1350-34914-15040-2224-12250-25032-24935-1076-9907-12600-16065-479-9210-28726+300000-66654-10173-10735+851-19920+41-8484-11510-147-20475-788+394-7088-1663-3528-11059-(-4200)-J30</f>
        <v>144529</v>
      </c>
      <c r="N30" s="204" t="s">
        <v>75</v>
      </c>
      <c r="O30" s="93" t="s">
        <v>359</v>
      </c>
      <c r="P30" s="19" t="s">
        <v>174</v>
      </c>
      <c r="Q30" s="19" t="s">
        <v>248</v>
      </c>
      <c r="R30" s="41">
        <v>152029</v>
      </c>
      <c r="S30" s="41">
        <v>7500</v>
      </c>
      <c r="T30" s="41">
        <f t="shared" si="1"/>
        <v>144529</v>
      </c>
      <c r="U30" s="19" t="str">
        <f t="shared" si="2"/>
        <v>O</v>
      </c>
    </row>
    <row r="31" spans="1:21" ht="27.75" customHeight="1">
      <c r="A31" s="17">
        <v>29</v>
      </c>
      <c r="B31" s="18" t="s">
        <v>44</v>
      </c>
      <c r="C31" s="8" t="s">
        <v>236</v>
      </c>
      <c r="D31" s="1" t="s">
        <v>25</v>
      </c>
      <c r="E31" s="7">
        <v>50000</v>
      </c>
      <c r="F31" s="6">
        <v>6</v>
      </c>
      <c r="G31" s="12">
        <f t="shared" si="0"/>
        <v>300000</v>
      </c>
      <c r="H31" s="87" t="s">
        <v>224</v>
      </c>
      <c r="I31" s="1" t="s">
        <v>255</v>
      </c>
      <c r="J31" s="2">
        <v>8275</v>
      </c>
      <c r="K31" s="3">
        <v>-6081</v>
      </c>
      <c r="L31" s="3">
        <f>300000-66540-83542+82-69228+69228-(-5909)-11324-2168-(-1287)-6613-52332-72225-10340</f>
        <v>2194</v>
      </c>
      <c r="M31" s="94" t="s">
        <v>26</v>
      </c>
      <c r="N31" s="204" t="s">
        <v>75</v>
      </c>
      <c r="O31" s="46" t="s">
        <v>281</v>
      </c>
      <c r="P31" s="19" t="s">
        <v>109</v>
      </c>
      <c r="Q31" s="19" t="s">
        <v>248</v>
      </c>
      <c r="R31" s="41">
        <v>2194</v>
      </c>
      <c r="S31" s="41">
        <v>8275</v>
      </c>
      <c r="T31" s="41">
        <f t="shared" si="1"/>
        <v>-6081</v>
      </c>
      <c r="U31" s="19" t="str">
        <f t="shared" si="2"/>
        <v>X</v>
      </c>
    </row>
    <row r="32" spans="1:21" ht="27.75" customHeight="1">
      <c r="A32" s="17">
        <v>30</v>
      </c>
      <c r="B32" s="14" t="s">
        <v>40</v>
      </c>
      <c r="C32" s="13" t="s">
        <v>185</v>
      </c>
      <c r="D32" s="1" t="s">
        <v>25</v>
      </c>
      <c r="E32" s="7">
        <v>50000</v>
      </c>
      <c r="F32" s="6">
        <v>6</v>
      </c>
      <c r="G32" s="12">
        <f t="shared" si="0"/>
        <v>300000</v>
      </c>
      <c r="H32" s="1" t="s">
        <v>224</v>
      </c>
      <c r="I32" s="1" t="s">
        <v>258</v>
      </c>
      <c r="J32" s="2">
        <v>27124</v>
      </c>
      <c r="K32" s="3">
        <v>159436</v>
      </c>
      <c r="L32" s="3">
        <f>300000-18270-(-1691)-43065-(-6831)-2205-12285-23237-(-2132)-25032</f>
        <v>186560</v>
      </c>
      <c r="M32" s="93" t="s">
        <v>353</v>
      </c>
      <c r="N32" s="204" t="s">
        <v>75</v>
      </c>
      <c r="O32" s="19" t="s">
        <v>257</v>
      </c>
      <c r="P32" s="19" t="s">
        <v>165</v>
      </c>
      <c r="Q32" s="19" t="s">
        <v>248</v>
      </c>
      <c r="R32" s="41">
        <v>186560</v>
      </c>
      <c r="S32" s="41">
        <v>27124</v>
      </c>
      <c r="T32" s="41">
        <f t="shared" si="1"/>
        <v>159436</v>
      </c>
      <c r="U32" s="19" t="str">
        <f t="shared" si="2"/>
        <v>X</v>
      </c>
    </row>
    <row r="33" spans="1:21" ht="27.75" customHeight="1">
      <c r="A33" s="17">
        <v>31</v>
      </c>
      <c r="B33" s="30" t="s">
        <v>21</v>
      </c>
      <c r="C33" s="25" t="s">
        <v>237</v>
      </c>
      <c r="D33" s="1" t="s">
        <v>25</v>
      </c>
      <c r="E33" s="7">
        <v>50000</v>
      </c>
      <c r="F33" s="6">
        <v>6</v>
      </c>
      <c r="G33" s="12">
        <f t="shared" si="0"/>
        <v>300000</v>
      </c>
      <c r="H33" s="86" t="s">
        <v>78</v>
      </c>
      <c r="I33" s="86" t="s">
        <v>79</v>
      </c>
      <c r="J33" s="2">
        <v>47252</v>
      </c>
      <c r="K33" s="3">
        <v>98520</v>
      </c>
      <c r="L33" s="3">
        <f>300000-1575-11493-24695-24228-2628-2836-(-474)-84-30496-706-9307-20185-4373-22096</f>
        <v>145772</v>
      </c>
      <c r="N33" s="204" t="s">
        <v>75</v>
      </c>
      <c r="O33" s="171" t="s">
        <v>514</v>
      </c>
      <c r="P33" s="19" t="s">
        <v>114</v>
      </c>
      <c r="Q33" s="169" t="s">
        <v>503</v>
      </c>
      <c r="R33" s="41">
        <v>145772</v>
      </c>
      <c r="S33" s="41">
        <v>47252</v>
      </c>
      <c r="T33" s="41">
        <f t="shared" si="1"/>
        <v>98520</v>
      </c>
      <c r="U33" s="19" t="str">
        <f t="shared" si="2"/>
        <v>X</v>
      </c>
    </row>
    <row r="34" spans="1:21" ht="27.75" customHeight="1">
      <c r="A34" s="17">
        <v>32</v>
      </c>
      <c r="B34" s="14" t="s">
        <v>40</v>
      </c>
      <c r="C34" s="13" t="s">
        <v>238</v>
      </c>
      <c r="D34" s="1" t="s">
        <v>24</v>
      </c>
      <c r="E34" s="7">
        <v>300000</v>
      </c>
      <c r="F34" s="6">
        <v>1</v>
      </c>
      <c r="G34" s="12">
        <f t="shared" si="0"/>
        <v>300000</v>
      </c>
      <c r="H34" s="1" t="s">
        <v>269</v>
      </c>
      <c r="I34" s="1" t="s">
        <v>300</v>
      </c>
      <c r="J34" s="2">
        <v>87560</v>
      </c>
      <c r="K34" s="3">
        <v>178447</v>
      </c>
      <c r="L34" s="3">
        <f>300000-14112-19950-14213-(-2205)-110143-101388-(-68397)-66035-49812+5828-26796+300000-13064-(-4148)-(-942)</f>
        <v>266007</v>
      </c>
      <c r="M34" s="129" t="s">
        <v>435</v>
      </c>
      <c r="N34" s="204" t="s">
        <v>75</v>
      </c>
      <c r="O34" s="130" t="s">
        <v>439</v>
      </c>
      <c r="P34" s="19" t="s">
        <v>110</v>
      </c>
      <c r="Q34" s="19" t="s">
        <v>248</v>
      </c>
      <c r="R34" s="41">
        <v>266007</v>
      </c>
      <c r="S34" s="41">
        <v>87560</v>
      </c>
      <c r="T34" s="41">
        <f t="shared" si="1"/>
        <v>178447</v>
      </c>
      <c r="U34" s="19" t="str">
        <f t="shared" si="2"/>
        <v>X</v>
      </c>
    </row>
    <row r="35" spans="1:21" ht="27.75" customHeight="1">
      <c r="A35" s="17">
        <v>33</v>
      </c>
      <c r="B35" s="16" t="s">
        <v>45</v>
      </c>
      <c r="C35" s="9" t="s">
        <v>80</v>
      </c>
      <c r="D35" s="1" t="s">
        <v>25</v>
      </c>
      <c r="E35" s="7">
        <v>100000</v>
      </c>
      <c r="F35" s="6">
        <v>1</v>
      </c>
      <c r="G35" s="12">
        <f t="shared" si="0"/>
        <v>100000</v>
      </c>
      <c r="H35" s="89" t="s">
        <v>67</v>
      </c>
      <c r="I35" s="89" t="s">
        <v>71</v>
      </c>
      <c r="J35" s="2">
        <v>9766</v>
      </c>
      <c r="K35" s="3">
        <v>127830</v>
      </c>
      <c r="L35" s="3">
        <f>300000-7054+7054-1793+620-9782-10197-580-3455-540-292-20540-15330-5712-55692-49140-(-10029)</f>
        <v>137596</v>
      </c>
      <c r="N35" s="204" t="s">
        <v>75</v>
      </c>
      <c r="O35" s="176" t="s">
        <v>515</v>
      </c>
      <c r="P35" s="19" t="s">
        <v>167</v>
      </c>
      <c r="Q35" s="19" t="s">
        <v>248</v>
      </c>
      <c r="R35" s="41">
        <v>137596</v>
      </c>
      <c r="S35" s="41">
        <v>9766</v>
      </c>
      <c r="T35" s="41">
        <f t="shared" si="1"/>
        <v>127830</v>
      </c>
      <c r="U35" s="19" t="str">
        <f t="shared" si="2"/>
        <v>X</v>
      </c>
    </row>
    <row r="36" spans="1:21" ht="27.75" customHeight="1">
      <c r="A36" s="17">
        <v>34</v>
      </c>
      <c r="B36" s="18" t="s">
        <v>44</v>
      </c>
      <c r="C36" s="8" t="s">
        <v>239</v>
      </c>
      <c r="D36" s="1" t="s">
        <v>24</v>
      </c>
      <c r="E36" s="7">
        <v>100000</v>
      </c>
      <c r="F36" s="6">
        <v>3</v>
      </c>
      <c r="G36" s="12">
        <f t="shared" si="0"/>
        <v>300000</v>
      </c>
      <c r="H36" s="87" t="s">
        <v>382</v>
      </c>
      <c r="I36" s="1" t="s">
        <v>383</v>
      </c>
      <c r="J36" s="2">
        <v>55938</v>
      </c>
      <c r="K36" s="3">
        <v>-199993</v>
      </c>
      <c r="L36" s="3">
        <f>300000-85279-24730-25229-127051-181766</f>
        <v>-144055</v>
      </c>
      <c r="M36" s="94" t="s">
        <v>26</v>
      </c>
      <c r="N36" s="204" t="s">
        <v>75</v>
      </c>
      <c r="O36" s="102" t="s">
        <v>376</v>
      </c>
      <c r="P36" s="19" t="s">
        <v>123</v>
      </c>
      <c r="Q36" s="19" t="s">
        <v>248</v>
      </c>
      <c r="R36" s="41">
        <v>-144055</v>
      </c>
      <c r="S36" s="41">
        <v>55938</v>
      </c>
      <c r="T36" s="41">
        <f t="shared" si="1"/>
        <v>-199993</v>
      </c>
      <c r="U36" s="19" t="str">
        <f t="shared" si="2"/>
        <v>X</v>
      </c>
    </row>
    <row r="37" spans="1:21" ht="27.75" customHeight="1">
      <c r="A37" s="17">
        <v>35</v>
      </c>
      <c r="B37" s="14" t="s">
        <v>40</v>
      </c>
      <c r="C37" s="13" t="s">
        <v>193</v>
      </c>
      <c r="D37" s="1" t="s">
        <v>25</v>
      </c>
      <c r="E37" s="7">
        <v>50000</v>
      </c>
      <c r="F37" s="6">
        <v>6</v>
      </c>
      <c r="G37" s="12">
        <f t="shared" si="0"/>
        <v>300000</v>
      </c>
      <c r="H37" s="87" t="s">
        <v>300</v>
      </c>
      <c r="I37" s="1" t="s">
        <v>454</v>
      </c>
      <c r="J37" s="2">
        <v>0</v>
      </c>
      <c r="K37" s="3">
        <v>251902</v>
      </c>
      <c r="L37" s="3">
        <f>300000-48098</f>
        <v>251902</v>
      </c>
      <c r="M37" s="136" t="s">
        <v>447</v>
      </c>
      <c r="N37" s="204" t="s">
        <v>75</v>
      </c>
      <c r="O37" s="153" t="s">
        <v>446</v>
      </c>
      <c r="P37" s="19" t="s">
        <v>186</v>
      </c>
      <c r="Q37" s="19" t="s">
        <v>247</v>
      </c>
      <c r="R37" s="41">
        <v>251902</v>
      </c>
      <c r="S37" s="41">
        <v>0</v>
      </c>
      <c r="T37" s="41">
        <f t="shared" si="1"/>
        <v>251902</v>
      </c>
      <c r="U37" s="19" t="str">
        <f t="shared" si="2"/>
        <v>O</v>
      </c>
    </row>
    <row r="38" spans="1:21" ht="27.75" customHeight="1">
      <c r="A38" s="17">
        <v>36</v>
      </c>
      <c r="B38" s="30" t="s">
        <v>21</v>
      </c>
      <c r="C38" s="25" t="s">
        <v>240</v>
      </c>
      <c r="D38" s="1" t="s">
        <v>25</v>
      </c>
      <c r="E38" s="7">
        <v>50000</v>
      </c>
      <c r="F38" s="6">
        <v>6</v>
      </c>
      <c r="G38" s="12">
        <f t="shared" si="0"/>
        <v>300000</v>
      </c>
      <c r="H38" s="92" t="s">
        <v>66</v>
      </c>
      <c r="I38" s="86" t="s">
        <v>77</v>
      </c>
      <c r="J38" s="2">
        <v>14688</v>
      </c>
      <c r="K38" s="3">
        <v>184736</v>
      </c>
      <c r="L38" s="3">
        <f>300000-42601-26251-5663+1760-3512-5670-0-16905-J38</f>
        <v>186470</v>
      </c>
      <c r="N38" s="204" t="s">
        <v>75</v>
      </c>
      <c r="O38" s="146" t="s">
        <v>461</v>
      </c>
      <c r="P38" s="19" t="s">
        <v>111</v>
      </c>
      <c r="Q38" s="19" t="s">
        <v>248</v>
      </c>
      <c r="R38" s="41">
        <v>199424</v>
      </c>
      <c r="S38" s="41">
        <v>14688</v>
      </c>
      <c r="T38" s="41">
        <f t="shared" si="1"/>
        <v>184736</v>
      </c>
      <c r="U38" s="19" t="str">
        <f t="shared" si="2"/>
        <v>X</v>
      </c>
    </row>
    <row r="39" spans="1:21" ht="27.75" customHeight="1">
      <c r="A39" s="17">
        <v>37</v>
      </c>
      <c r="B39" s="14" t="s">
        <v>17</v>
      </c>
      <c r="C39" s="13" t="s">
        <v>43</v>
      </c>
      <c r="D39" s="1" t="s">
        <v>24</v>
      </c>
      <c r="E39" s="7">
        <v>100000</v>
      </c>
      <c r="F39" s="6">
        <v>3</v>
      </c>
      <c r="G39" s="12">
        <f t="shared" si="0"/>
        <v>300000</v>
      </c>
      <c r="H39" s="87" t="s">
        <v>255</v>
      </c>
      <c r="I39" s="1" t="s">
        <v>279</v>
      </c>
      <c r="J39" s="2">
        <v>90160</v>
      </c>
      <c r="K39" s="3">
        <v>119833</v>
      </c>
      <c r="L39" s="3">
        <f>24327-35349+311022-2940-18543-(-261)-22981-45804</f>
        <v>209993</v>
      </c>
      <c r="M39" s="93" t="s">
        <v>354</v>
      </c>
      <c r="N39" s="204" t="s">
        <v>75</v>
      </c>
      <c r="O39" s="19" t="s">
        <v>212</v>
      </c>
      <c r="P39" s="19" t="s">
        <v>112</v>
      </c>
      <c r="Q39" s="19" t="s">
        <v>248</v>
      </c>
      <c r="R39" s="41">
        <v>209993</v>
      </c>
      <c r="S39" s="41">
        <v>90160</v>
      </c>
      <c r="T39" s="41">
        <f t="shared" si="1"/>
        <v>119833</v>
      </c>
      <c r="U39" s="19" t="str">
        <f t="shared" si="2"/>
        <v>X</v>
      </c>
    </row>
    <row r="40" spans="1:21" ht="27.75" customHeight="1">
      <c r="A40" s="17">
        <v>38</v>
      </c>
      <c r="B40" s="14" t="s">
        <v>17</v>
      </c>
      <c r="C40" s="13" t="s">
        <v>59</v>
      </c>
      <c r="D40" s="1" t="s">
        <v>60</v>
      </c>
      <c r="E40" s="7">
        <v>30000</v>
      </c>
      <c r="F40" s="6">
        <v>3</v>
      </c>
      <c r="G40" s="12">
        <f t="shared" si="0"/>
        <v>90000</v>
      </c>
      <c r="H40" s="248" t="s">
        <v>562</v>
      </c>
      <c r="I40" s="249" t="s">
        <v>399</v>
      </c>
      <c r="J40" s="2">
        <v>66244</v>
      </c>
      <c r="K40" s="3">
        <v>63581</v>
      </c>
      <c r="L40" s="3">
        <f>50000*3-20175</f>
        <v>129825</v>
      </c>
      <c r="M40" s="254" t="s">
        <v>541</v>
      </c>
      <c r="N40" s="204" t="s">
        <v>75</v>
      </c>
      <c r="O40" s="201" t="s">
        <v>563</v>
      </c>
      <c r="P40" s="19" t="s">
        <v>133</v>
      </c>
      <c r="Q40" s="19" t="s">
        <v>247</v>
      </c>
      <c r="R40" s="41">
        <v>129825</v>
      </c>
      <c r="S40" s="41">
        <v>66244</v>
      </c>
      <c r="T40" s="41">
        <f t="shared" si="1"/>
        <v>63581</v>
      </c>
      <c r="U40" s="19" t="str">
        <f t="shared" si="2"/>
        <v>X</v>
      </c>
    </row>
    <row r="41" spans="1:21" ht="27.75" customHeight="1">
      <c r="A41" s="17">
        <v>39</v>
      </c>
      <c r="B41" s="18" t="s">
        <v>93</v>
      </c>
      <c r="C41" s="8" t="s">
        <v>41</v>
      </c>
      <c r="D41" s="1" t="s">
        <v>24</v>
      </c>
      <c r="E41" s="7">
        <v>100000</v>
      </c>
      <c r="F41" s="6">
        <v>3</v>
      </c>
      <c r="G41" s="12">
        <v>300000</v>
      </c>
      <c r="H41" s="87" t="s">
        <v>200</v>
      </c>
      <c r="I41" s="87" t="s">
        <v>200</v>
      </c>
      <c r="J41" s="2">
        <v>204532.5</v>
      </c>
      <c r="K41" s="3">
        <v>-204532.5</v>
      </c>
      <c r="L41" s="3">
        <v>0</v>
      </c>
      <c r="M41" s="94" t="s">
        <v>26</v>
      </c>
      <c r="N41" s="204" t="s">
        <v>75</v>
      </c>
      <c r="O41" s="19" t="s">
        <v>197</v>
      </c>
      <c r="P41" s="19" t="s">
        <v>125</v>
      </c>
      <c r="Q41" s="19" t="s">
        <v>246</v>
      </c>
      <c r="R41" s="41">
        <v>0</v>
      </c>
      <c r="S41" s="41">
        <v>204532.5</v>
      </c>
      <c r="T41" s="41">
        <f t="shared" si="1"/>
        <v>-204532.5</v>
      </c>
      <c r="U41" s="19" t="str">
        <f t="shared" si="2"/>
        <v>X</v>
      </c>
    </row>
    <row r="42" spans="1:21" ht="27.75" customHeight="1">
      <c r="A42" s="17">
        <v>40</v>
      </c>
      <c r="B42" s="14" t="s">
        <v>17</v>
      </c>
      <c r="C42" s="13" t="s">
        <v>98</v>
      </c>
      <c r="D42" s="1" t="s">
        <v>25</v>
      </c>
      <c r="E42" s="7">
        <v>50000</v>
      </c>
      <c r="F42" s="6">
        <v>6</v>
      </c>
      <c r="G42" s="12">
        <f t="shared" si="0"/>
        <v>300000</v>
      </c>
      <c r="H42" s="1" t="s">
        <v>202</v>
      </c>
      <c r="I42" s="1" t="s">
        <v>300</v>
      </c>
      <c r="J42" s="2">
        <v>32023</v>
      </c>
      <c r="K42" s="3">
        <v>10867</v>
      </c>
      <c r="L42" s="3">
        <f>42670+309800-102470-54520+4520-45003-122269+71544-4272-4410-11078-41622</f>
        <v>42890</v>
      </c>
      <c r="M42" s="59" t="s">
        <v>301</v>
      </c>
      <c r="N42" s="204" t="s">
        <v>75</v>
      </c>
      <c r="O42" s="61" t="s">
        <v>304</v>
      </c>
      <c r="P42" s="19" t="s">
        <v>139</v>
      </c>
      <c r="Q42" s="169" t="s">
        <v>312</v>
      </c>
      <c r="R42" s="41">
        <v>42890</v>
      </c>
      <c r="S42" s="41">
        <v>32023</v>
      </c>
      <c r="T42" s="41">
        <f t="shared" si="1"/>
        <v>10867</v>
      </c>
      <c r="U42" s="19" t="str">
        <f t="shared" si="2"/>
        <v>X</v>
      </c>
    </row>
    <row r="43" spans="1:21" ht="27.75" customHeight="1">
      <c r="A43" s="17">
        <v>41</v>
      </c>
      <c r="B43" s="14" t="s">
        <v>40</v>
      </c>
      <c r="C43" s="13" t="s">
        <v>241</v>
      </c>
      <c r="D43" s="1" t="s">
        <v>25</v>
      </c>
      <c r="E43" s="7">
        <v>50000</v>
      </c>
      <c r="F43" s="6">
        <v>6</v>
      </c>
      <c r="G43" s="12">
        <f t="shared" si="0"/>
        <v>300000</v>
      </c>
      <c r="H43" s="1" t="s">
        <v>138</v>
      </c>
      <c r="I43" s="1" t="s">
        <v>279</v>
      </c>
      <c r="J43" s="2">
        <v>6720</v>
      </c>
      <c r="K43" s="3">
        <v>204841</v>
      </c>
      <c r="L43" s="3">
        <f>300000-29215-14931-13608-(-2132)-12474-13684-5273-1386</f>
        <v>211561</v>
      </c>
      <c r="M43" s="93" t="s">
        <v>355</v>
      </c>
      <c r="N43" s="204" t="s">
        <v>75</v>
      </c>
      <c r="O43" s="45" t="s">
        <v>280</v>
      </c>
      <c r="P43" s="19" t="s">
        <v>128</v>
      </c>
      <c r="Q43" s="19" t="s">
        <v>247</v>
      </c>
      <c r="R43" s="41">
        <v>211561</v>
      </c>
      <c r="S43" s="41">
        <v>6720</v>
      </c>
      <c r="T43" s="41">
        <f t="shared" si="1"/>
        <v>204841</v>
      </c>
      <c r="U43" s="19" t="str">
        <f t="shared" si="2"/>
        <v>X</v>
      </c>
    </row>
    <row r="44" spans="1:21" ht="27.75" customHeight="1">
      <c r="A44" s="17">
        <v>42</v>
      </c>
      <c r="B44" s="14" t="s">
        <v>40</v>
      </c>
      <c r="C44" s="13" t="s">
        <v>242</v>
      </c>
      <c r="D44" s="1" t="s">
        <v>16</v>
      </c>
      <c r="E44" s="7">
        <v>50000</v>
      </c>
      <c r="F44" s="6">
        <v>6</v>
      </c>
      <c r="G44" s="12">
        <f t="shared" si="0"/>
        <v>300000</v>
      </c>
      <c r="H44" s="1" t="s">
        <v>218</v>
      </c>
      <c r="I44" s="91" t="s">
        <v>300</v>
      </c>
      <c r="J44" s="2">
        <v>-2470</v>
      </c>
      <c r="K44" s="3">
        <v>75560</v>
      </c>
      <c r="L44" s="3">
        <f>17792+300000-24147-114611+20966-(-7909)-90048-13031-(-1409)-33149</f>
        <v>73090</v>
      </c>
      <c r="M44" s="93" t="s">
        <v>347</v>
      </c>
      <c r="N44" s="204" t="s">
        <v>75</v>
      </c>
      <c r="O44" s="52" t="s">
        <v>295</v>
      </c>
      <c r="P44" s="19" t="s">
        <v>129</v>
      </c>
      <c r="Q44" s="19" t="s">
        <v>247</v>
      </c>
      <c r="R44" s="41">
        <v>73090</v>
      </c>
      <c r="S44" s="41">
        <v>-2470</v>
      </c>
      <c r="T44" s="41">
        <f t="shared" si="1"/>
        <v>75560</v>
      </c>
      <c r="U44" s="19" t="str">
        <f t="shared" si="2"/>
        <v>X</v>
      </c>
    </row>
    <row r="45" spans="1:21" ht="27.75" customHeight="1">
      <c r="A45" s="17">
        <v>43</v>
      </c>
      <c r="B45" s="14" t="s">
        <v>17</v>
      </c>
      <c r="C45" s="13" t="s">
        <v>89</v>
      </c>
      <c r="D45" s="1" t="s">
        <v>24</v>
      </c>
      <c r="E45" s="7">
        <v>100000</v>
      </c>
      <c r="F45" s="6">
        <v>3</v>
      </c>
      <c r="G45" s="12">
        <f t="shared" si="0"/>
        <v>300000</v>
      </c>
      <c r="H45" s="1" t="s">
        <v>138</v>
      </c>
      <c r="I45" s="91" t="s">
        <v>218</v>
      </c>
      <c r="J45" s="2">
        <v>38974</v>
      </c>
      <c r="K45" s="3">
        <v>32362</v>
      </c>
      <c r="L45" s="3">
        <f>300000-30131-12413-70480-68455-56711-4628-61530+4340+8-33706+300000-32576-32389-13701-6897-34767-18715-55913</f>
        <v>71336</v>
      </c>
      <c r="M45" s="44" t="s">
        <v>276</v>
      </c>
      <c r="N45" s="204" t="s">
        <v>75</v>
      </c>
      <c r="O45" s="44" t="s">
        <v>277</v>
      </c>
      <c r="P45" s="19" t="s">
        <v>145</v>
      </c>
      <c r="Q45" s="19" t="s">
        <v>248</v>
      </c>
      <c r="R45" s="41">
        <v>71336</v>
      </c>
      <c r="S45" s="41">
        <v>38974</v>
      </c>
      <c r="T45" s="41">
        <f t="shared" si="1"/>
        <v>32362</v>
      </c>
      <c r="U45" s="19" t="str">
        <f t="shared" si="2"/>
        <v>X</v>
      </c>
    </row>
    <row r="46" spans="1:21" ht="27.75" customHeight="1">
      <c r="A46" s="17">
        <v>44</v>
      </c>
      <c r="B46" s="14" t="s">
        <v>17</v>
      </c>
      <c r="C46" s="13" t="s">
        <v>228</v>
      </c>
      <c r="D46" s="1" t="s">
        <v>24</v>
      </c>
      <c r="E46" s="7">
        <v>100000</v>
      </c>
      <c r="F46" s="6">
        <v>3</v>
      </c>
      <c r="G46" s="12">
        <f t="shared" si="0"/>
        <v>300000</v>
      </c>
      <c r="H46" s="87" t="s">
        <v>255</v>
      </c>
      <c r="I46" s="1" t="s">
        <v>292</v>
      </c>
      <c r="J46" s="2">
        <v>13068</v>
      </c>
      <c r="K46" s="3">
        <v>56548</v>
      </c>
      <c r="L46" s="3">
        <f>7504+338800-146304-44578-5823-31387-(-6697)-55293</f>
        <v>69616</v>
      </c>
      <c r="M46" s="93" t="s">
        <v>356</v>
      </c>
      <c r="N46" s="204" t="s">
        <v>75</v>
      </c>
      <c r="O46" s="75" t="s">
        <v>326</v>
      </c>
      <c r="P46" s="19" t="s">
        <v>116</v>
      </c>
      <c r="Q46" s="169" t="s">
        <v>504</v>
      </c>
      <c r="R46" s="41">
        <v>69616</v>
      </c>
      <c r="S46" s="41">
        <v>13068</v>
      </c>
      <c r="T46" s="41">
        <f t="shared" si="1"/>
        <v>56548</v>
      </c>
      <c r="U46" s="19" t="str">
        <f t="shared" si="2"/>
        <v>X</v>
      </c>
    </row>
    <row r="47" spans="1:21" ht="27.75" customHeight="1">
      <c r="A47" s="17">
        <v>45</v>
      </c>
      <c r="B47" s="14" t="s">
        <v>40</v>
      </c>
      <c r="C47" s="13" t="s">
        <v>54</v>
      </c>
      <c r="D47" s="1" t="s">
        <v>25</v>
      </c>
      <c r="E47" s="7">
        <v>50000</v>
      </c>
      <c r="F47" s="6">
        <v>6</v>
      </c>
      <c r="G47" s="12">
        <f t="shared" si="0"/>
        <v>300000</v>
      </c>
      <c r="H47" s="1" t="s">
        <v>202</v>
      </c>
      <c r="I47" s="91" t="s">
        <v>300</v>
      </c>
      <c r="J47" s="2">
        <v>69</v>
      </c>
      <c r="K47" s="3">
        <v>42663</v>
      </c>
      <c r="L47" s="3">
        <f>300000-55884+5884-25011-30020-7310-67773-37227-39927</f>
        <v>42732</v>
      </c>
      <c r="M47" s="47" t="s">
        <v>284</v>
      </c>
      <c r="N47" s="204" t="s">
        <v>75</v>
      </c>
      <c r="O47" s="47" t="s">
        <v>285</v>
      </c>
      <c r="P47" s="19" t="s">
        <v>130</v>
      </c>
      <c r="Q47" s="19" t="s">
        <v>247</v>
      </c>
      <c r="R47" s="41">
        <v>42732</v>
      </c>
      <c r="S47" s="41">
        <v>69</v>
      </c>
      <c r="T47" s="41">
        <f t="shared" si="1"/>
        <v>42663</v>
      </c>
      <c r="U47" s="19" t="str">
        <f t="shared" si="2"/>
        <v>X</v>
      </c>
    </row>
    <row r="48" spans="1:21" ht="27.75" customHeight="1">
      <c r="A48" s="17">
        <v>46</v>
      </c>
      <c r="B48" s="14" t="s">
        <v>40</v>
      </c>
      <c r="C48" s="13" t="s">
        <v>449</v>
      </c>
      <c r="D48" s="1" t="s">
        <v>25</v>
      </c>
      <c r="E48" s="7">
        <v>30000</v>
      </c>
      <c r="F48" s="6">
        <v>3</v>
      </c>
      <c r="G48" s="12">
        <f t="shared" si="0"/>
        <v>90000</v>
      </c>
      <c r="H48" s="1" t="s">
        <v>279</v>
      </c>
      <c r="I48" s="91" t="s">
        <v>300</v>
      </c>
      <c r="J48" s="2">
        <v>34920</v>
      </c>
      <c r="K48" s="3">
        <v>8011</v>
      </c>
      <c r="L48" s="3">
        <f>120328-60328-1950-21242-(-6123)</f>
        <v>42931</v>
      </c>
      <c r="M48" s="136" t="s">
        <v>450</v>
      </c>
      <c r="N48" s="204" t="s">
        <v>75</v>
      </c>
      <c r="O48" s="178" t="s">
        <v>529</v>
      </c>
      <c r="P48" s="147" t="s">
        <v>462</v>
      </c>
      <c r="Q48" s="19" t="s">
        <v>247</v>
      </c>
      <c r="R48" s="41">
        <v>42931</v>
      </c>
      <c r="S48" s="41">
        <v>34920</v>
      </c>
      <c r="T48" s="41">
        <f t="shared" si="1"/>
        <v>8011</v>
      </c>
      <c r="U48" s="19" t="str">
        <f t="shared" si="2"/>
        <v>X</v>
      </c>
    </row>
    <row r="49" spans="1:21" ht="27.75" customHeight="1">
      <c r="A49" s="17">
        <v>47</v>
      </c>
      <c r="B49" s="30" t="s">
        <v>21</v>
      </c>
      <c r="C49" s="25" t="s">
        <v>48</v>
      </c>
      <c r="D49" s="1" t="s">
        <v>25</v>
      </c>
      <c r="E49" s="7">
        <v>100000</v>
      </c>
      <c r="F49" s="6">
        <v>1</v>
      </c>
      <c r="G49" s="12">
        <f t="shared" si="0"/>
        <v>100000</v>
      </c>
      <c r="H49" s="86" t="s">
        <v>140</v>
      </c>
      <c r="I49" s="96" t="s">
        <v>90</v>
      </c>
      <c r="J49" s="2">
        <v>6767</v>
      </c>
      <c r="K49" s="3">
        <v>158153</v>
      </c>
      <c r="L49" s="3">
        <f>11922-97770+300000+3839-(-1302)-(-63)-5775-2068-21000-5204-2982-3331-987-(-118)-6059-3000-4148</f>
        <v>164920</v>
      </c>
      <c r="N49" s="204" t="s">
        <v>75</v>
      </c>
      <c r="O49" s="171" t="s">
        <v>516</v>
      </c>
      <c r="P49" s="19" t="s">
        <v>142</v>
      </c>
      <c r="Q49" s="169" t="s">
        <v>504</v>
      </c>
      <c r="R49" s="41">
        <v>164920</v>
      </c>
      <c r="S49" s="41">
        <v>6767</v>
      </c>
      <c r="T49" s="41">
        <f t="shared" si="1"/>
        <v>158153</v>
      </c>
      <c r="U49" s="19" t="str">
        <f t="shared" si="2"/>
        <v>X</v>
      </c>
    </row>
    <row r="50" spans="1:21" ht="27.75" customHeight="1">
      <c r="A50" s="17">
        <v>48</v>
      </c>
      <c r="B50" s="30" t="s">
        <v>21</v>
      </c>
      <c r="C50" s="25" t="s">
        <v>53</v>
      </c>
      <c r="D50" s="1" t="s">
        <v>25</v>
      </c>
      <c r="E50" s="7">
        <v>30000</v>
      </c>
      <c r="F50" s="6">
        <v>3</v>
      </c>
      <c r="G50" s="12">
        <f t="shared" si="0"/>
        <v>90000</v>
      </c>
      <c r="H50" s="92" t="s">
        <v>88</v>
      </c>
      <c r="I50" s="86" t="s">
        <v>202</v>
      </c>
      <c r="J50" s="2">
        <v>0</v>
      </c>
      <c r="K50" s="3">
        <v>109887</v>
      </c>
      <c r="L50" s="3">
        <f>18100+300000-59068-22470-(-4620)-41839-55199-4431-(-1149)-5922-9143-15910</f>
        <v>109887</v>
      </c>
      <c r="N50" s="204" t="s">
        <v>75</v>
      </c>
      <c r="O50" s="19" t="s">
        <v>266</v>
      </c>
      <c r="P50" s="19" t="s">
        <v>158</v>
      </c>
      <c r="Q50" s="19" t="s">
        <v>247</v>
      </c>
      <c r="R50" s="41">
        <v>109887</v>
      </c>
      <c r="S50" s="41">
        <v>0</v>
      </c>
      <c r="T50" s="41">
        <f t="shared" si="1"/>
        <v>109887</v>
      </c>
      <c r="U50" s="19" t="str">
        <f t="shared" si="2"/>
        <v>O</v>
      </c>
    </row>
    <row r="51" spans="1:21" ht="27.75" customHeight="1">
      <c r="A51" s="17">
        <v>49</v>
      </c>
      <c r="B51" s="14" t="s">
        <v>40</v>
      </c>
      <c r="C51" s="13" t="s">
        <v>207</v>
      </c>
      <c r="D51" s="1" t="s">
        <v>24</v>
      </c>
      <c r="E51" s="7">
        <v>100000</v>
      </c>
      <c r="F51" s="6">
        <v>3</v>
      </c>
      <c r="G51" s="12">
        <f t="shared" si="0"/>
        <v>300000</v>
      </c>
      <c r="H51" s="87" t="s">
        <v>279</v>
      </c>
      <c r="I51" s="87" t="s">
        <v>300</v>
      </c>
      <c r="J51" s="2">
        <v>13170</v>
      </c>
      <c r="K51" s="3">
        <v>165482</v>
      </c>
      <c r="L51" s="3">
        <f>19655-225462+205807+200000-(-6042)-15361-12029</f>
        <v>178652</v>
      </c>
      <c r="M51" s="129" t="s">
        <v>440</v>
      </c>
      <c r="N51" s="204" t="s">
        <v>75</v>
      </c>
      <c r="O51" s="129" t="s">
        <v>441</v>
      </c>
      <c r="P51" s="19" t="s">
        <v>117</v>
      </c>
      <c r="Q51" s="169" t="s">
        <v>312</v>
      </c>
      <c r="R51" s="41">
        <v>178652</v>
      </c>
      <c r="S51" s="41">
        <v>13170</v>
      </c>
      <c r="T51" s="41">
        <f t="shared" si="1"/>
        <v>165482</v>
      </c>
      <c r="U51" s="19" t="str">
        <f t="shared" si="2"/>
        <v>X</v>
      </c>
    </row>
    <row r="52" spans="1:21" ht="27.75" customHeight="1">
      <c r="A52" s="17">
        <v>50</v>
      </c>
      <c r="B52" s="14" t="s">
        <v>17</v>
      </c>
      <c r="C52" s="13" t="s">
        <v>42</v>
      </c>
      <c r="D52" s="1" t="s">
        <v>24</v>
      </c>
      <c r="E52" s="7">
        <v>100000</v>
      </c>
      <c r="F52" s="6">
        <v>3</v>
      </c>
      <c r="G52" s="12">
        <f t="shared" si="0"/>
        <v>300000</v>
      </c>
      <c r="H52" s="249" t="s">
        <v>300</v>
      </c>
      <c r="I52" s="249" t="s">
        <v>454</v>
      </c>
      <c r="J52" s="2">
        <v>-1520</v>
      </c>
      <c r="K52" s="3">
        <v>204714</v>
      </c>
      <c r="L52" s="3">
        <f>9547+50000*6-21851-84502</f>
        <v>203194</v>
      </c>
      <c r="M52" s="255" t="s">
        <v>493</v>
      </c>
      <c r="N52" s="204" t="s">
        <v>75</v>
      </c>
      <c r="O52" s="201" t="s">
        <v>553</v>
      </c>
      <c r="P52" s="19" t="s">
        <v>159</v>
      </c>
      <c r="Q52" s="19" t="s">
        <v>247</v>
      </c>
      <c r="R52" s="41">
        <v>203194</v>
      </c>
      <c r="S52" s="41">
        <v>-1520</v>
      </c>
      <c r="T52" s="41">
        <f t="shared" si="1"/>
        <v>204714</v>
      </c>
      <c r="U52" s="19" t="str">
        <f t="shared" si="2"/>
        <v>X</v>
      </c>
    </row>
    <row r="53" spans="1:21" ht="27.75" customHeight="1">
      <c r="A53" s="17">
        <v>51</v>
      </c>
      <c r="B53" s="14" t="s">
        <v>17</v>
      </c>
      <c r="C53" s="13" t="s">
        <v>81</v>
      </c>
      <c r="D53" s="1" t="s">
        <v>24</v>
      </c>
      <c r="E53" s="7">
        <v>100000</v>
      </c>
      <c r="F53" s="6">
        <v>3</v>
      </c>
      <c r="G53" s="12">
        <f t="shared" si="0"/>
        <v>300000</v>
      </c>
      <c r="H53" s="1" t="s">
        <v>383</v>
      </c>
      <c r="I53" s="1" t="s">
        <v>437</v>
      </c>
      <c r="J53" s="2">
        <v>0</v>
      </c>
      <c r="K53" s="3">
        <v>272894</v>
      </c>
      <c r="L53" s="3">
        <f>2943+300000-16905-10332-2812</f>
        <v>272894</v>
      </c>
      <c r="M53" s="149" t="s">
        <v>469</v>
      </c>
      <c r="N53" s="204" t="s">
        <v>75</v>
      </c>
      <c r="O53" s="201" t="s">
        <v>470</v>
      </c>
      <c r="P53" s="19" t="s">
        <v>160</v>
      </c>
      <c r="Q53" s="19" t="s">
        <v>247</v>
      </c>
      <c r="R53" s="41">
        <v>272894</v>
      </c>
      <c r="S53" s="41">
        <v>0</v>
      </c>
      <c r="T53" s="41">
        <f t="shared" si="1"/>
        <v>272894</v>
      </c>
      <c r="U53" s="19" t="str">
        <f t="shared" si="2"/>
        <v>O</v>
      </c>
    </row>
    <row r="54" spans="1:21" ht="27.75" customHeight="1">
      <c r="A54" s="17">
        <v>52</v>
      </c>
      <c r="B54" s="14" t="s">
        <v>40</v>
      </c>
      <c r="C54" s="13" t="s">
        <v>61</v>
      </c>
      <c r="D54" s="1" t="s">
        <v>25</v>
      </c>
      <c r="E54" s="7">
        <v>50000</v>
      </c>
      <c r="F54" s="6">
        <v>6</v>
      </c>
      <c r="G54" s="12">
        <f t="shared" si="0"/>
        <v>300000</v>
      </c>
      <c r="H54" s="1" t="s">
        <v>74</v>
      </c>
      <c r="I54" s="1" t="s">
        <v>218</v>
      </c>
      <c r="J54" s="2">
        <v>0</v>
      </c>
      <c r="K54" s="3">
        <v>152404</v>
      </c>
      <c r="L54" s="3">
        <f>6424-4347-578-4599+3100+26230+300000-76230-(-3696)-8043-45507-41375-(-840)-7207-J54-J54</f>
        <v>152404</v>
      </c>
      <c r="N54" s="204" t="s">
        <v>75</v>
      </c>
      <c r="O54" s="19" t="s">
        <v>219</v>
      </c>
      <c r="P54" s="19" t="s">
        <v>187</v>
      </c>
      <c r="Q54" s="169" t="s">
        <v>503</v>
      </c>
      <c r="R54" s="41">
        <v>152404</v>
      </c>
      <c r="S54" s="41">
        <v>0</v>
      </c>
      <c r="T54" s="41">
        <f t="shared" si="1"/>
        <v>152404</v>
      </c>
      <c r="U54" s="19" t="str">
        <f t="shared" si="2"/>
        <v>O</v>
      </c>
    </row>
    <row r="55" spans="1:21" ht="27.75" customHeight="1">
      <c r="A55" s="17">
        <v>53</v>
      </c>
      <c r="B55" s="30" t="s">
        <v>21</v>
      </c>
      <c r="C55" s="25" t="s">
        <v>47</v>
      </c>
      <c r="D55" s="1" t="s">
        <v>24</v>
      </c>
      <c r="E55" s="7">
        <v>100000</v>
      </c>
      <c r="F55" s="6">
        <v>3</v>
      </c>
      <c r="G55" s="12">
        <f t="shared" si="0"/>
        <v>300000</v>
      </c>
      <c r="H55" s="86" t="s">
        <v>224</v>
      </c>
      <c r="I55" s="86" t="s">
        <v>138</v>
      </c>
      <c r="J55" s="2">
        <v>4266</v>
      </c>
      <c r="K55" s="3">
        <v>127444</v>
      </c>
      <c r="L55" s="3">
        <f>18120+143693-161813+300000-(-8841)-(-305)-17566-5534-135160+134988-0-26131-71339-(-2436)-36470-22660</f>
        <v>131710</v>
      </c>
      <c r="N55" s="204" t="s">
        <v>75</v>
      </c>
      <c r="O55" s="171" t="s">
        <v>517</v>
      </c>
      <c r="P55" s="19" t="s">
        <v>131</v>
      </c>
      <c r="Q55" s="19" t="s">
        <v>247</v>
      </c>
      <c r="R55" s="41">
        <v>131710</v>
      </c>
      <c r="S55" s="41">
        <v>4266</v>
      </c>
      <c r="T55" s="41">
        <f t="shared" si="1"/>
        <v>127444</v>
      </c>
      <c r="U55" s="19" t="str">
        <f t="shared" si="2"/>
        <v>X</v>
      </c>
    </row>
    <row r="56" spans="1:21" ht="27.75" customHeight="1">
      <c r="A56" s="17">
        <v>54</v>
      </c>
      <c r="B56" s="14" t="s">
        <v>17</v>
      </c>
      <c r="C56" s="13" t="s">
        <v>243</v>
      </c>
      <c r="D56" s="1" t="s">
        <v>25</v>
      </c>
      <c r="E56" s="7">
        <v>50000</v>
      </c>
      <c r="F56" s="6">
        <v>12</v>
      </c>
      <c r="G56" s="12">
        <f t="shared" si="0"/>
        <v>600000</v>
      </c>
      <c r="H56" s="1" t="s">
        <v>300</v>
      </c>
      <c r="I56" s="1" t="s">
        <v>454</v>
      </c>
      <c r="J56" s="2">
        <v>-3296</v>
      </c>
      <c r="K56" s="3">
        <v>293981</v>
      </c>
      <c r="L56" s="3">
        <f>45590-46809+1219+300000-1890-7425</f>
        <v>290685</v>
      </c>
      <c r="M56" s="144" t="s">
        <v>452</v>
      </c>
      <c r="N56" s="204" t="s">
        <v>75</v>
      </c>
      <c r="O56" s="144" t="s">
        <v>453</v>
      </c>
      <c r="P56" s="19" t="s">
        <v>188</v>
      </c>
      <c r="Q56" s="19" t="s">
        <v>247</v>
      </c>
      <c r="R56" s="41">
        <v>290685</v>
      </c>
      <c r="S56" s="41">
        <v>-3296</v>
      </c>
      <c r="T56" s="41">
        <f t="shared" si="1"/>
        <v>293981</v>
      </c>
      <c r="U56" s="19" t="str">
        <f t="shared" si="2"/>
        <v>X</v>
      </c>
    </row>
    <row r="57" spans="1:21" ht="27.75" customHeight="1">
      <c r="A57" s="17">
        <v>55</v>
      </c>
      <c r="B57" s="16" t="s">
        <v>45</v>
      </c>
      <c r="C57" s="9" t="s">
        <v>82</v>
      </c>
      <c r="D57" s="1" t="s">
        <v>24</v>
      </c>
      <c r="E57" s="7">
        <v>100000</v>
      </c>
      <c r="F57" s="6">
        <v>2</v>
      </c>
      <c r="G57" s="12">
        <f t="shared" si="0"/>
        <v>200000</v>
      </c>
      <c r="H57" s="89" t="s">
        <v>178</v>
      </c>
      <c r="I57" s="89" t="s">
        <v>71</v>
      </c>
      <c r="J57" s="2">
        <v>0</v>
      </c>
      <c r="K57" s="3">
        <v>207917</v>
      </c>
      <c r="L57" s="3">
        <f>200000-(-7917)-0-0-J57-J57</f>
        <v>207917</v>
      </c>
      <c r="N57" s="204" t="s">
        <v>75</v>
      </c>
      <c r="O57" s="19" t="s">
        <v>177</v>
      </c>
      <c r="P57" s="19" t="s">
        <v>176</v>
      </c>
      <c r="Q57" s="19" t="s">
        <v>246</v>
      </c>
      <c r="R57" s="41">
        <v>207917</v>
      </c>
      <c r="S57" s="41">
        <v>0</v>
      </c>
      <c r="T57" s="41">
        <f t="shared" si="1"/>
        <v>207917</v>
      </c>
      <c r="U57" s="19" t="str">
        <f t="shared" si="2"/>
        <v>O</v>
      </c>
    </row>
    <row r="58" spans="1:21" ht="27.75" customHeight="1">
      <c r="A58" s="17">
        <v>56</v>
      </c>
      <c r="B58" s="30" t="s">
        <v>21</v>
      </c>
      <c r="C58" s="25" t="s">
        <v>51</v>
      </c>
      <c r="D58" s="1" t="s">
        <v>25</v>
      </c>
      <c r="E58" s="7">
        <v>50000</v>
      </c>
      <c r="F58" s="6">
        <v>6</v>
      </c>
      <c r="G58" s="12">
        <f t="shared" si="0"/>
        <v>300000</v>
      </c>
      <c r="H58" s="86" t="s">
        <v>64</v>
      </c>
      <c r="I58" s="86" t="s">
        <v>90</v>
      </c>
      <c r="J58" s="2">
        <v>0</v>
      </c>
      <c r="K58" s="3">
        <v>173890</v>
      </c>
      <c r="L58" s="3">
        <f>291213-8534-415-33896-7648-8294-25977-1182-1722-13726-0-1890-0-525-13514</f>
        <v>173890</v>
      </c>
      <c r="N58" s="204" t="s">
        <v>75</v>
      </c>
      <c r="O58" s="171" t="s">
        <v>518</v>
      </c>
      <c r="P58" s="19" t="s">
        <v>127</v>
      </c>
      <c r="Q58" s="169" t="s">
        <v>312</v>
      </c>
      <c r="R58" s="41">
        <v>173890</v>
      </c>
      <c r="S58" s="41">
        <v>0</v>
      </c>
      <c r="T58" s="41">
        <f t="shared" si="1"/>
        <v>173890</v>
      </c>
      <c r="U58" s="19" t="str">
        <f t="shared" si="2"/>
        <v>O</v>
      </c>
    </row>
    <row r="59" spans="1:21" ht="27.75" customHeight="1">
      <c r="A59" s="17">
        <v>57</v>
      </c>
      <c r="B59" s="30" t="s">
        <v>21</v>
      </c>
      <c r="C59" s="25" t="s">
        <v>28</v>
      </c>
      <c r="D59" s="1" t="s">
        <v>24</v>
      </c>
      <c r="E59" s="7">
        <v>100000</v>
      </c>
      <c r="F59" s="6">
        <v>3</v>
      </c>
      <c r="G59" s="12">
        <f t="shared" si="0"/>
        <v>300000</v>
      </c>
      <c r="H59" s="86" t="s">
        <v>90</v>
      </c>
      <c r="I59" s="86" t="s">
        <v>202</v>
      </c>
      <c r="J59" s="2">
        <v>-1136</v>
      </c>
      <c r="K59" s="3">
        <v>12525</v>
      </c>
      <c r="L59" s="3">
        <f>18092+300000-64117-22203-64266-33368-8329-22706-5462-5938-2416-37338-16832-83152+300000-17026-(-9888)-29563-35177-18692-(-788)-40201-(-470)-(-7762)-96353-(-1439)-23911</f>
        <v>11389</v>
      </c>
      <c r="N59" s="204" t="s">
        <v>75</v>
      </c>
      <c r="O59" s="19" t="s">
        <v>195</v>
      </c>
      <c r="P59" s="19" t="s">
        <v>143</v>
      </c>
      <c r="Q59" s="169" t="s">
        <v>504</v>
      </c>
      <c r="R59" s="41">
        <v>11389</v>
      </c>
      <c r="S59" s="41">
        <v>-1136</v>
      </c>
      <c r="T59" s="41">
        <f t="shared" si="1"/>
        <v>12525</v>
      </c>
      <c r="U59" s="19" t="str">
        <f t="shared" si="2"/>
        <v>X</v>
      </c>
    </row>
    <row r="60" spans="1:21" ht="27.75" customHeight="1">
      <c r="A60" s="17">
        <v>58</v>
      </c>
      <c r="B60" s="14" t="s">
        <v>40</v>
      </c>
      <c r="C60" s="13" t="s">
        <v>27</v>
      </c>
      <c r="D60" s="1" t="s">
        <v>24</v>
      </c>
      <c r="E60" s="7">
        <v>100000</v>
      </c>
      <c r="F60" s="6">
        <v>3</v>
      </c>
      <c r="G60" s="12">
        <f t="shared" si="0"/>
        <v>300000</v>
      </c>
      <c r="H60" s="1" t="s">
        <v>279</v>
      </c>
      <c r="I60" s="1" t="s">
        <v>300</v>
      </c>
      <c r="J60" s="2">
        <v>42760</v>
      </c>
      <c r="K60" s="3">
        <v>141356</v>
      </c>
      <c r="L60" s="3">
        <f>300000-43674-(-7846)-15414-64642</f>
        <v>184116</v>
      </c>
      <c r="M60" s="129" t="s">
        <v>432</v>
      </c>
      <c r="N60" s="204" t="s">
        <v>75</v>
      </c>
      <c r="O60" s="129" t="s">
        <v>434</v>
      </c>
      <c r="P60" s="19" t="s">
        <v>169</v>
      </c>
      <c r="Q60" s="19" t="s">
        <v>248</v>
      </c>
      <c r="R60" s="41">
        <v>184116</v>
      </c>
      <c r="S60" s="41">
        <v>42760</v>
      </c>
      <c r="T60" s="41">
        <f t="shared" si="1"/>
        <v>141356</v>
      </c>
      <c r="U60" s="19" t="str">
        <f t="shared" si="2"/>
        <v>X</v>
      </c>
    </row>
    <row r="61" spans="1:21" ht="27.75" customHeight="1">
      <c r="A61" s="17">
        <v>59</v>
      </c>
      <c r="B61" s="18" t="s">
        <v>44</v>
      </c>
      <c r="C61" s="8" t="s">
        <v>56</v>
      </c>
      <c r="D61" s="1" t="s">
        <v>25</v>
      </c>
      <c r="E61" s="7">
        <v>100000</v>
      </c>
      <c r="F61" s="6">
        <v>1</v>
      </c>
      <c r="G61" s="12">
        <f t="shared" si="0"/>
        <v>100000</v>
      </c>
      <c r="H61" s="87" t="s">
        <v>71</v>
      </c>
      <c r="I61" s="87" t="s">
        <v>71</v>
      </c>
      <c r="J61" s="2">
        <v>0</v>
      </c>
      <c r="K61" s="3">
        <v>0</v>
      </c>
      <c r="L61" s="3">
        <f>90000-49135-31500+8001-7207+920+100000-50715-2617-6556-12090-34997-4253+149-0-J61</f>
        <v>0</v>
      </c>
      <c r="M61" s="94" t="s">
        <v>26</v>
      </c>
      <c r="N61" s="204" t="s">
        <v>75</v>
      </c>
      <c r="O61" s="19" t="s">
        <v>161</v>
      </c>
      <c r="P61" s="19" t="s">
        <v>120</v>
      </c>
      <c r="Q61" s="169" t="s">
        <v>503</v>
      </c>
      <c r="R61" s="41">
        <v>0</v>
      </c>
      <c r="S61" s="41">
        <v>0</v>
      </c>
      <c r="T61" s="41">
        <f t="shared" si="1"/>
        <v>0</v>
      </c>
      <c r="U61" s="19" t="str">
        <f t="shared" si="2"/>
        <v>O</v>
      </c>
    </row>
    <row r="62" spans="1:21" ht="27.75" customHeight="1">
      <c r="A62" s="17">
        <v>60</v>
      </c>
      <c r="B62" s="14" t="s">
        <v>17</v>
      </c>
      <c r="C62" s="13" t="s">
        <v>76</v>
      </c>
      <c r="D62" s="1" t="s">
        <v>16</v>
      </c>
      <c r="E62" s="7">
        <v>100000</v>
      </c>
      <c r="F62" s="6">
        <v>3</v>
      </c>
      <c r="G62" s="12">
        <f t="shared" si="0"/>
        <v>300000</v>
      </c>
      <c r="H62" s="249" t="s">
        <v>300</v>
      </c>
      <c r="I62" s="248" t="s">
        <v>454</v>
      </c>
      <c r="J62" s="2">
        <v>-15012</v>
      </c>
      <c r="K62" s="3">
        <v>259967</v>
      </c>
      <c r="L62" s="3">
        <f>10405+300000-46482-18968</f>
        <v>244955</v>
      </c>
      <c r="M62" s="256" t="s">
        <v>489</v>
      </c>
      <c r="N62" s="204" t="s">
        <v>75</v>
      </c>
      <c r="O62" s="201" t="s">
        <v>554</v>
      </c>
      <c r="P62" s="19" t="s">
        <v>121</v>
      </c>
      <c r="Q62" s="169" t="s">
        <v>504</v>
      </c>
      <c r="R62" s="41">
        <v>244955</v>
      </c>
      <c r="S62" s="41">
        <v>-15012</v>
      </c>
      <c r="T62" s="41">
        <f t="shared" si="1"/>
        <v>259967</v>
      </c>
      <c r="U62" s="19" t="str">
        <f t="shared" si="2"/>
        <v>X</v>
      </c>
    </row>
    <row r="63" spans="1:21" ht="27.75" customHeight="1">
      <c r="A63" s="17">
        <v>61</v>
      </c>
      <c r="B63" s="14" t="s">
        <v>17</v>
      </c>
      <c r="C63" s="13" t="s">
        <v>62</v>
      </c>
      <c r="D63" s="1" t="s">
        <v>25</v>
      </c>
      <c r="E63" s="7">
        <v>50000</v>
      </c>
      <c r="F63" s="6">
        <v>6</v>
      </c>
      <c r="G63" s="12">
        <f t="shared" si="0"/>
        <v>300000</v>
      </c>
      <c r="H63" s="87" t="s">
        <v>224</v>
      </c>
      <c r="I63" s="1" t="s">
        <v>258</v>
      </c>
      <c r="J63" s="2">
        <v>-8602</v>
      </c>
      <c r="K63" s="3">
        <v>118857</v>
      </c>
      <c r="L63" s="3">
        <f>300000-7875-9736-(-1040)-0-7350-99557-11208-1155-18554-3497-31853</f>
        <v>110255</v>
      </c>
      <c r="M63" s="20"/>
      <c r="N63" s="204" t="s">
        <v>75</v>
      </c>
      <c r="O63" s="20" t="s">
        <v>251</v>
      </c>
      <c r="P63" s="19" t="s">
        <v>168</v>
      </c>
      <c r="Q63" s="19" t="s">
        <v>248</v>
      </c>
      <c r="R63" s="41">
        <v>110255</v>
      </c>
      <c r="S63" s="41">
        <v>-8602</v>
      </c>
      <c r="T63" s="41">
        <f t="shared" si="1"/>
        <v>118857</v>
      </c>
      <c r="U63" s="19" t="str">
        <f t="shared" si="2"/>
        <v>X</v>
      </c>
    </row>
    <row r="64" spans="1:21" ht="27.75" customHeight="1">
      <c r="A64" s="17">
        <v>62</v>
      </c>
      <c r="B64" s="30" t="s">
        <v>21</v>
      </c>
      <c r="C64" s="25" t="s">
        <v>31</v>
      </c>
      <c r="D64" s="1" t="s">
        <v>24</v>
      </c>
      <c r="E64" s="7">
        <v>100000</v>
      </c>
      <c r="F64" s="6">
        <v>3</v>
      </c>
      <c r="G64" s="12">
        <f t="shared" si="0"/>
        <v>300000</v>
      </c>
      <c r="H64" s="92" t="s">
        <v>88</v>
      </c>
      <c r="I64" s="86" t="s">
        <v>202</v>
      </c>
      <c r="J64" s="2">
        <v>-4863</v>
      </c>
      <c r="K64" s="3">
        <v>22604</v>
      </c>
      <c r="L64" s="3">
        <f>300000-48258-108671-7271-9559-275-108225</f>
        <v>17741</v>
      </c>
      <c r="M64" s="93"/>
      <c r="N64" s="204" t="s">
        <v>75</v>
      </c>
      <c r="O64" s="19" t="s">
        <v>260</v>
      </c>
      <c r="P64" s="19" t="s">
        <v>136</v>
      </c>
      <c r="Q64" s="19" t="s">
        <v>247</v>
      </c>
      <c r="R64" s="41">
        <v>17741</v>
      </c>
      <c r="S64" s="41">
        <v>-4863</v>
      </c>
      <c r="T64" s="41">
        <f t="shared" si="1"/>
        <v>22604</v>
      </c>
      <c r="U64" s="19" t="str">
        <f t="shared" si="2"/>
        <v>X</v>
      </c>
    </row>
    <row r="65" spans="1:21" ht="27.75" customHeight="1">
      <c r="A65" s="17">
        <v>63</v>
      </c>
      <c r="B65" s="14" t="s">
        <v>17</v>
      </c>
      <c r="C65" s="13" t="s">
        <v>204</v>
      </c>
      <c r="D65" s="1" t="s">
        <v>25</v>
      </c>
      <c r="E65" s="7">
        <v>50000</v>
      </c>
      <c r="F65" s="6">
        <v>6</v>
      </c>
      <c r="G65" s="12">
        <f t="shared" si="0"/>
        <v>300000</v>
      </c>
      <c r="H65" s="1" t="s">
        <v>466</v>
      </c>
      <c r="I65" s="1" t="s">
        <v>546</v>
      </c>
      <c r="J65" s="2">
        <v>-1640</v>
      </c>
      <c r="K65" s="3">
        <v>122559</v>
      </c>
      <c r="L65" s="3">
        <f>50000*3-21420-7581-80</f>
        <v>120919</v>
      </c>
      <c r="M65" s="149" t="s">
        <v>467</v>
      </c>
      <c r="N65" s="204" t="s">
        <v>75</v>
      </c>
      <c r="O65" s="186" t="s">
        <v>468</v>
      </c>
      <c r="P65" s="19" t="s">
        <v>203</v>
      </c>
      <c r="Q65" s="169" t="s">
        <v>503</v>
      </c>
      <c r="R65" s="41">
        <v>120919</v>
      </c>
      <c r="S65" s="41">
        <v>-1640</v>
      </c>
      <c r="T65" s="41">
        <f t="shared" si="1"/>
        <v>122559</v>
      </c>
      <c r="U65" s="19" t="str">
        <f t="shared" si="2"/>
        <v>X</v>
      </c>
    </row>
    <row r="66" spans="1:21" ht="27.75" customHeight="1">
      <c r="A66" s="17">
        <v>64</v>
      </c>
      <c r="B66" s="30" t="s">
        <v>21</v>
      </c>
      <c r="C66" s="25" t="s">
        <v>57</v>
      </c>
      <c r="D66" s="1" t="s">
        <v>25</v>
      </c>
      <c r="E66" s="7">
        <v>50000</v>
      </c>
      <c r="F66" s="6">
        <v>6</v>
      </c>
      <c r="G66" s="12">
        <f t="shared" si="0"/>
        <v>300000</v>
      </c>
      <c r="H66" s="92" t="s">
        <v>71</v>
      </c>
      <c r="I66" s="86" t="s">
        <v>138</v>
      </c>
      <c r="J66" s="2">
        <v>25008</v>
      </c>
      <c r="K66" s="3">
        <v>88808</v>
      </c>
      <c r="L66" s="3">
        <f>9182+300000-53834-8363-66119-5118-32723-9160-2310-8921-3614-5204-J66</f>
        <v>88808</v>
      </c>
      <c r="N66" s="204" t="s">
        <v>75</v>
      </c>
      <c r="O66" s="171" t="s">
        <v>519</v>
      </c>
      <c r="P66" s="19" t="s">
        <v>115</v>
      </c>
      <c r="Q66" s="169" t="s">
        <v>503</v>
      </c>
      <c r="R66" s="41">
        <v>113816</v>
      </c>
      <c r="S66" s="41">
        <v>25008</v>
      </c>
      <c r="T66" s="41">
        <f t="shared" si="1"/>
        <v>88808</v>
      </c>
      <c r="U66" s="19" t="str">
        <f t="shared" si="2"/>
        <v>O</v>
      </c>
    </row>
    <row r="67" spans="1:21" ht="27.75" customHeight="1">
      <c r="A67" s="17">
        <v>65</v>
      </c>
      <c r="B67" s="18" t="s">
        <v>93</v>
      </c>
      <c r="C67" s="8" t="s">
        <v>63</v>
      </c>
      <c r="D67" s="1" t="s">
        <v>60</v>
      </c>
      <c r="E67" s="7">
        <v>50000</v>
      </c>
      <c r="F67" s="6">
        <v>6</v>
      </c>
      <c r="G67" s="12">
        <f t="shared" si="0"/>
        <v>300000</v>
      </c>
      <c r="H67" s="87" t="s">
        <v>224</v>
      </c>
      <c r="I67" s="1" t="s">
        <v>138</v>
      </c>
      <c r="J67" s="2">
        <v>10692</v>
      </c>
      <c r="K67" s="3">
        <v>-16114</v>
      </c>
      <c r="L67" s="3">
        <f>0-(-2738)-J67</f>
        <v>-7954</v>
      </c>
      <c r="M67" s="94" t="s">
        <v>26</v>
      </c>
      <c r="N67" s="204" t="s">
        <v>75</v>
      </c>
      <c r="O67" s="19" t="s">
        <v>250</v>
      </c>
      <c r="P67" s="129" t="s">
        <v>132</v>
      </c>
      <c r="Q67" s="19" t="s">
        <v>247</v>
      </c>
      <c r="R67" s="41">
        <v>-5422</v>
      </c>
      <c r="S67" s="41">
        <v>10692</v>
      </c>
      <c r="T67" s="41">
        <f t="shared" si="1"/>
        <v>-16114</v>
      </c>
      <c r="U67" s="19" t="str">
        <f t="shared" si="2"/>
        <v>X</v>
      </c>
    </row>
    <row r="68" spans="1:21" ht="27.75" customHeight="1">
      <c r="A68" s="17">
        <v>66</v>
      </c>
      <c r="B68" s="18" t="s">
        <v>44</v>
      </c>
      <c r="C68" s="8" t="s">
        <v>38</v>
      </c>
      <c r="D68" s="1" t="s">
        <v>15</v>
      </c>
      <c r="E68" s="7">
        <v>150000</v>
      </c>
      <c r="F68" s="6">
        <v>6</v>
      </c>
      <c r="G68" s="12">
        <f t="shared" si="0"/>
        <v>900000</v>
      </c>
      <c r="H68" s="87" t="s">
        <v>268</v>
      </c>
      <c r="I68" s="1" t="s">
        <v>269</v>
      </c>
      <c r="J68" s="2">
        <v>32787</v>
      </c>
      <c r="K68" s="3">
        <v>-8878</v>
      </c>
      <c r="L68" s="3">
        <f>150000*6-99420-18220-135541-82176-70245-80418-102421-90568-140431-56651</f>
        <v>23909</v>
      </c>
      <c r="M68" s="94" t="s">
        <v>26</v>
      </c>
      <c r="N68" s="204" t="s">
        <v>75</v>
      </c>
      <c r="O68" s="19" t="s">
        <v>270</v>
      </c>
      <c r="P68" s="19" t="s">
        <v>175</v>
      </c>
      <c r="Q68" s="19" t="s">
        <v>246</v>
      </c>
      <c r="R68" s="41">
        <v>23909</v>
      </c>
      <c r="S68" s="41">
        <v>32787</v>
      </c>
      <c r="T68" s="41">
        <f t="shared" si="1"/>
        <v>-8878</v>
      </c>
      <c r="U68" s="19" t="str">
        <f t="shared" si="2"/>
        <v>X</v>
      </c>
    </row>
    <row r="69" spans="1:21" ht="27.75" customHeight="1">
      <c r="A69" s="17">
        <v>67</v>
      </c>
      <c r="B69" s="14" t="s">
        <v>17</v>
      </c>
      <c r="C69" s="13" t="s">
        <v>73</v>
      </c>
      <c r="D69" s="1" t="s">
        <v>25</v>
      </c>
      <c r="E69" s="7">
        <v>50000</v>
      </c>
      <c r="F69" s="6">
        <v>6</v>
      </c>
      <c r="G69" s="12">
        <f t="shared" si="0"/>
        <v>300000</v>
      </c>
      <c r="H69" s="87" t="s">
        <v>218</v>
      </c>
      <c r="I69" s="1" t="s">
        <v>300</v>
      </c>
      <c r="J69" s="2">
        <v>0</v>
      </c>
      <c r="K69" s="3">
        <v>269846</v>
      </c>
      <c r="L69" s="3">
        <f>73398+300000-99178+25780-11025-13244-1134-2048-2703</f>
        <v>269846</v>
      </c>
      <c r="M69" s="93" t="s">
        <v>348</v>
      </c>
      <c r="N69" s="204" t="s">
        <v>75</v>
      </c>
      <c r="O69" s="57" t="s">
        <v>298</v>
      </c>
      <c r="P69" s="19" t="s">
        <v>146</v>
      </c>
      <c r="Q69" s="19" t="s">
        <v>246</v>
      </c>
      <c r="R69" s="41">
        <v>269846</v>
      </c>
      <c r="S69" s="41">
        <v>0</v>
      </c>
      <c r="T69" s="41">
        <f t="shared" ref="T69:T77" si="3">R69-S69</f>
        <v>269846</v>
      </c>
      <c r="U69" s="19" t="str">
        <f t="shared" ref="U69:U77" si="4">IF(L69=T69,"O","X")</f>
        <v>O</v>
      </c>
    </row>
    <row r="70" spans="1:21" ht="27.75" customHeight="1">
      <c r="A70" s="17">
        <v>68</v>
      </c>
      <c r="B70" s="14" t="s">
        <v>17</v>
      </c>
      <c r="C70" s="13" t="s">
        <v>309</v>
      </c>
      <c r="D70" s="1" t="s">
        <v>24</v>
      </c>
      <c r="E70" s="7">
        <v>30000</v>
      </c>
      <c r="F70" s="6">
        <v>3</v>
      </c>
      <c r="G70" s="12">
        <f t="shared" si="0"/>
        <v>90000</v>
      </c>
      <c r="H70" s="87" t="s">
        <v>218</v>
      </c>
      <c r="I70" s="1" t="s">
        <v>258</v>
      </c>
      <c r="J70" s="2">
        <v>-720</v>
      </c>
      <c r="K70" s="3">
        <v>65309</v>
      </c>
      <c r="L70" s="3">
        <f>90000-5313-6426-5644-9694-(-1666)</f>
        <v>64589</v>
      </c>
      <c r="M70" s="93" t="s">
        <v>349</v>
      </c>
      <c r="N70" s="204" t="s">
        <v>75</v>
      </c>
      <c r="O70" s="179" t="s">
        <v>530</v>
      </c>
      <c r="P70" s="66" t="s">
        <v>311</v>
      </c>
      <c r="Q70" s="66" t="s">
        <v>312</v>
      </c>
      <c r="R70" s="41">
        <v>64589</v>
      </c>
      <c r="S70" s="41">
        <v>-720</v>
      </c>
      <c r="T70" s="41">
        <f t="shared" si="3"/>
        <v>65309</v>
      </c>
      <c r="U70" s="19" t="str">
        <f t="shared" si="4"/>
        <v>X</v>
      </c>
    </row>
    <row r="71" spans="1:21" ht="27.75" customHeight="1">
      <c r="A71" s="17">
        <v>69</v>
      </c>
      <c r="B71" s="30" t="s">
        <v>21</v>
      </c>
      <c r="C71" s="25" t="s">
        <v>189</v>
      </c>
      <c r="D71" s="1" t="s">
        <v>15</v>
      </c>
      <c r="E71" s="7">
        <v>100000</v>
      </c>
      <c r="F71" s="6">
        <v>3</v>
      </c>
      <c r="G71" s="12">
        <f t="shared" si="0"/>
        <v>300000</v>
      </c>
      <c r="H71" s="92" t="s">
        <v>190</v>
      </c>
      <c r="I71" s="86" t="s">
        <v>191</v>
      </c>
      <c r="J71" s="2">
        <v>0</v>
      </c>
      <c r="K71" s="3">
        <v>187023</v>
      </c>
      <c r="L71" s="3">
        <f>300000-3904-171-22279-24548-4422-0-1502-8533-20349-12344-15574-(-649)</f>
        <v>187023</v>
      </c>
      <c r="N71" s="204" t="s">
        <v>75</v>
      </c>
      <c r="O71" s="176" t="s">
        <v>520</v>
      </c>
      <c r="P71" s="19" t="s">
        <v>172</v>
      </c>
      <c r="Q71" s="19" t="s">
        <v>246</v>
      </c>
      <c r="R71" s="41">
        <v>187023</v>
      </c>
      <c r="S71" s="41">
        <v>0</v>
      </c>
      <c r="T71" s="41">
        <f t="shared" si="3"/>
        <v>187023</v>
      </c>
      <c r="U71" s="19" t="str">
        <f t="shared" si="4"/>
        <v>O</v>
      </c>
    </row>
    <row r="72" spans="1:21" ht="27.75" customHeight="1">
      <c r="A72" s="17">
        <v>70</v>
      </c>
      <c r="B72" s="16" t="s">
        <v>45</v>
      </c>
      <c r="C72" s="9" t="s">
        <v>65</v>
      </c>
      <c r="D72" s="1" t="s">
        <v>25</v>
      </c>
      <c r="E72" s="7">
        <v>30000</v>
      </c>
      <c r="F72" s="6">
        <v>3</v>
      </c>
      <c r="G72" s="12">
        <f t="shared" si="0"/>
        <v>90000</v>
      </c>
      <c r="H72" s="89" t="s">
        <v>55</v>
      </c>
      <c r="I72" s="89" t="s">
        <v>70</v>
      </c>
      <c r="J72" s="2">
        <v>0</v>
      </c>
      <c r="K72" s="3">
        <v>15138</v>
      </c>
      <c r="L72" s="3">
        <f>300000-6732-149680+5310-23804-1573-(-4095)-2995-16120-6646-34272-19278-8610-17441-18456-(-11340)</f>
        <v>15138</v>
      </c>
      <c r="N72" s="204" t="s">
        <v>75</v>
      </c>
      <c r="O72" s="176" t="s">
        <v>512</v>
      </c>
      <c r="P72" s="19" t="s">
        <v>170</v>
      </c>
      <c r="Q72" s="19" t="s">
        <v>246</v>
      </c>
      <c r="R72" s="41">
        <v>15138</v>
      </c>
      <c r="S72" s="41">
        <v>0</v>
      </c>
      <c r="T72" s="41">
        <f t="shared" si="3"/>
        <v>15138</v>
      </c>
      <c r="U72" s="19" t="str">
        <f t="shared" si="4"/>
        <v>O</v>
      </c>
    </row>
    <row r="73" spans="1:21" ht="27.75" customHeight="1">
      <c r="A73" s="17">
        <v>71</v>
      </c>
      <c r="B73" s="14" t="s">
        <v>17</v>
      </c>
      <c r="C73" s="13" t="s">
        <v>52</v>
      </c>
      <c r="D73" s="1" t="s">
        <v>25</v>
      </c>
      <c r="E73" s="7">
        <v>30000</v>
      </c>
      <c r="F73" s="6">
        <v>6</v>
      </c>
      <c r="G73" s="12">
        <f t="shared" si="0"/>
        <v>180000</v>
      </c>
      <c r="H73" s="87" t="s">
        <v>218</v>
      </c>
      <c r="I73" s="1" t="s">
        <v>300</v>
      </c>
      <c r="J73" s="2">
        <v>0</v>
      </c>
      <c r="K73" s="3">
        <v>205860</v>
      </c>
      <c r="L73" s="3">
        <f>39664+300000-52605-13703-6825-61956-(-1285)-J73</f>
        <v>205860</v>
      </c>
      <c r="M73" s="93" t="s">
        <v>348</v>
      </c>
      <c r="N73" s="204" t="s">
        <v>75</v>
      </c>
      <c r="O73" s="20"/>
      <c r="P73" s="19" t="s">
        <v>147</v>
      </c>
      <c r="Q73" s="19" t="s">
        <v>246</v>
      </c>
      <c r="R73" s="41">
        <v>205860</v>
      </c>
      <c r="S73" s="41">
        <v>0</v>
      </c>
      <c r="T73" s="41">
        <f t="shared" si="3"/>
        <v>205860</v>
      </c>
      <c r="U73" s="19" t="str">
        <f t="shared" si="4"/>
        <v>O</v>
      </c>
    </row>
    <row r="74" spans="1:21" ht="27.75" customHeight="1">
      <c r="A74" s="17">
        <v>72</v>
      </c>
      <c r="B74" s="14" t="s">
        <v>40</v>
      </c>
      <c r="C74" s="13" t="s">
        <v>229</v>
      </c>
      <c r="D74" s="1" t="s">
        <v>25</v>
      </c>
      <c r="E74" s="7">
        <v>50000</v>
      </c>
      <c r="F74" s="6">
        <v>6</v>
      </c>
      <c r="G74" s="12">
        <f t="shared" si="0"/>
        <v>300000</v>
      </c>
      <c r="H74" s="87" t="s">
        <v>201</v>
      </c>
      <c r="I74" s="1" t="s">
        <v>227</v>
      </c>
      <c r="J74" s="2">
        <v>4204</v>
      </c>
      <c r="K74" s="3">
        <v>30489</v>
      </c>
      <c r="L74" s="3">
        <f>-24769+24769+300000-11519-7175-(-4162)-36815-12891-127221-17220-(-19824)-(-44)-33789-42707</f>
        <v>34693</v>
      </c>
      <c r="N74" s="204" t="s">
        <v>75</v>
      </c>
      <c r="O74" s="109" t="s">
        <v>395</v>
      </c>
      <c r="P74" s="19" t="s">
        <v>163</v>
      </c>
      <c r="Q74" s="19" t="s">
        <v>246</v>
      </c>
      <c r="R74" s="41">
        <v>34693</v>
      </c>
      <c r="S74" s="41">
        <v>4204</v>
      </c>
      <c r="T74" s="41">
        <f t="shared" si="3"/>
        <v>30489</v>
      </c>
      <c r="U74" s="19" t="str">
        <f t="shared" si="4"/>
        <v>X</v>
      </c>
    </row>
    <row r="75" spans="1:21" ht="27.75" customHeight="1">
      <c r="A75" s="17">
        <v>73</v>
      </c>
      <c r="B75" s="14" t="s">
        <v>40</v>
      </c>
      <c r="C75" s="13" t="s">
        <v>84</v>
      </c>
      <c r="D75" s="1" t="s">
        <v>25</v>
      </c>
      <c r="E75" s="7">
        <v>50000</v>
      </c>
      <c r="F75" s="6">
        <v>6</v>
      </c>
      <c r="G75" s="12">
        <f t="shared" si="0"/>
        <v>300000</v>
      </c>
      <c r="H75" s="87" t="s">
        <v>397</v>
      </c>
      <c r="I75" s="1" t="s">
        <v>398</v>
      </c>
      <c r="J75" s="2">
        <v>61030</v>
      </c>
      <c r="K75" s="3">
        <v>83985</v>
      </c>
      <c r="L75" s="3">
        <f>300000-61806+11806-50357-54628</f>
        <v>145015</v>
      </c>
      <c r="M75" s="175" t="s">
        <v>394</v>
      </c>
      <c r="N75" s="204" t="s">
        <v>75</v>
      </c>
      <c r="O75" s="109" t="s">
        <v>396</v>
      </c>
      <c r="P75" s="19" t="s">
        <v>148</v>
      </c>
      <c r="Q75" s="19" t="s">
        <v>246</v>
      </c>
      <c r="R75" s="41">
        <v>145015</v>
      </c>
      <c r="S75" s="41">
        <v>61030</v>
      </c>
      <c r="T75" s="41">
        <f t="shared" si="3"/>
        <v>83985</v>
      </c>
      <c r="U75" s="19" t="str">
        <f t="shared" si="4"/>
        <v>X</v>
      </c>
    </row>
    <row r="76" spans="1:21" ht="27.75" customHeight="1">
      <c r="A76" s="17">
        <v>74</v>
      </c>
      <c r="B76" s="16" t="s">
        <v>20</v>
      </c>
      <c r="C76" s="9" t="s">
        <v>0</v>
      </c>
      <c r="D76" s="1" t="s">
        <v>16</v>
      </c>
      <c r="E76" s="7">
        <v>50000</v>
      </c>
      <c r="F76" s="6">
        <v>10</v>
      </c>
      <c r="G76" s="12">
        <f t="shared" si="0"/>
        <v>500000</v>
      </c>
      <c r="H76" s="89" t="s">
        <v>13</v>
      </c>
      <c r="I76" s="89" t="s">
        <v>14</v>
      </c>
      <c r="J76" s="2">
        <v>0</v>
      </c>
      <c r="K76" s="3">
        <v>8012</v>
      </c>
      <c r="L76" s="3">
        <f>3112+4900-0-0-J76</f>
        <v>8012</v>
      </c>
      <c r="N76" s="204" t="s">
        <v>75</v>
      </c>
      <c r="O76" s="93" t="s">
        <v>365</v>
      </c>
      <c r="P76" s="19" t="s">
        <v>192</v>
      </c>
      <c r="Q76" s="19" t="s">
        <v>248</v>
      </c>
      <c r="R76" s="41">
        <v>8012</v>
      </c>
      <c r="S76" s="41">
        <v>0</v>
      </c>
      <c r="T76" s="41">
        <f t="shared" si="3"/>
        <v>8012</v>
      </c>
      <c r="U76" s="19" t="str">
        <f t="shared" si="4"/>
        <v>O</v>
      </c>
    </row>
    <row r="77" spans="1:21" ht="27.75" customHeight="1">
      <c r="A77" s="17">
        <v>75</v>
      </c>
      <c r="B77" s="18" t="s">
        <v>44</v>
      </c>
      <c r="C77" s="8" t="s">
        <v>244</v>
      </c>
      <c r="D77" s="1" t="s">
        <v>15</v>
      </c>
      <c r="E77" s="7">
        <v>100000</v>
      </c>
      <c r="F77" s="6">
        <v>3</v>
      </c>
      <c r="G77" s="12">
        <f t="shared" si="0"/>
        <v>300000</v>
      </c>
      <c r="H77" s="92" t="s">
        <v>224</v>
      </c>
      <c r="I77" s="86" t="s">
        <v>138</v>
      </c>
      <c r="J77" s="2">
        <v>6300</v>
      </c>
      <c r="K77" s="3">
        <v>-1590</v>
      </c>
      <c r="L77" s="3">
        <f>20902+300000-35247-49429-34239-31248-33787-54580-15388-234-28497-29505-4038</f>
        <v>4710</v>
      </c>
      <c r="M77" s="94" t="s">
        <v>26</v>
      </c>
      <c r="N77" s="204" t="s">
        <v>75</v>
      </c>
      <c r="O77" s="177" t="s">
        <v>521</v>
      </c>
      <c r="P77" s="19" t="s">
        <v>164</v>
      </c>
      <c r="Q77" s="169" t="s">
        <v>312</v>
      </c>
      <c r="R77" s="41">
        <v>4710</v>
      </c>
      <c r="S77" s="41">
        <v>6300</v>
      </c>
      <c r="T77" s="41">
        <f t="shared" si="3"/>
        <v>-1590</v>
      </c>
      <c r="U77" s="19" t="str">
        <f t="shared" si="4"/>
        <v>X</v>
      </c>
    </row>
    <row r="78" spans="1:21" ht="21" customHeight="1">
      <c r="A78" s="189" t="s">
        <v>18</v>
      </c>
      <c r="B78" s="189"/>
      <c r="C78" s="189"/>
      <c r="D78" s="189"/>
      <c r="E78" s="190">
        <f>SUM(E3:E77)</f>
        <v>6430000</v>
      </c>
      <c r="F78" s="190"/>
      <c r="G78" s="190"/>
      <c r="H78" s="189" t="s">
        <v>23</v>
      </c>
      <c r="I78" s="189"/>
      <c r="J78" s="190">
        <f>SUM(J3:J77)</f>
        <v>2186880.5</v>
      </c>
      <c r="K78" s="190"/>
      <c r="L78" s="190"/>
    </row>
    <row r="79" spans="1:21" ht="20.25" customHeight="1">
      <c r="A79" s="189" t="s">
        <v>29</v>
      </c>
      <c r="B79" s="189"/>
      <c r="C79" s="189"/>
      <c r="D79" s="189"/>
      <c r="E79" s="190">
        <f>E78-SUMIF(B3:B77,"待續約",E3:E77)</f>
        <v>4980000</v>
      </c>
      <c r="F79" s="190"/>
      <c r="G79" s="190"/>
      <c r="H79" s="191"/>
      <c r="I79" s="192"/>
      <c r="J79" s="193"/>
      <c r="K79" s="205"/>
      <c r="L79" s="194"/>
    </row>
    <row r="80" spans="1:21" ht="21">
      <c r="A80" s="35" t="s">
        <v>19</v>
      </c>
      <c r="B80" s="4">
        <f>COUNTA(C3:C77)</f>
        <v>75</v>
      </c>
      <c r="C80" s="4" t="s">
        <v>20</v>
      </c>
      <c r="D80" s="4">
        <f>COUNTIF(B3:B77,"嚴重")</f>
        <v>7</v>
      </c>
      <c r="E80" s="4" t="s">
        <v>21</v>
      </c>
      <c r="F80" s="4">
        <f>COUNTIF(B3:B77,"逾期")</f>
        <v>10</v>
      </c>
      <c r="G80" s="36"/>
      <c r="H80" s="4" t="s">
        <v>22</v>
      </c>
      <c r="I80" s="4">
        <f>B80-D80-F80</f>
        <v>58</v>
      </c>
      <c r="J80" s="4" t="s">
        <v>7</v>
      </c>
      <c r="K80" s="37">
        <f>J78/E79</f>
        <v>0.43913263052208834</v>
      </c>
      <c r="L80" s="37">
        <f>J78/E79</f>
        <v>0.43913263052208834</v>
      </c>
    </row>
    <row r="81" spans="1:21" s="21" customFormat="1">
      <c r="A81" s="19" t="s">
        <v>245</v>
      </c>
      <c r="B81" s="19"/>
      <c r="E81" s="38"/>
      <c r="G81" s="39"/>
      <c r="K81" s="19"/>
      <c r="L81" s="19"/>
      <c r="N81" s="202"/>
      <c r="O81" s="19"/>
      <c r="R81" s="42"/>
      <c r="S81" s="41"/>
      <c r="T81" s="41"/>
      <c r="U81" s="19"/>
    </row>
    <row r="82" spans="1:21">
      <c r="O82" s="21"/>
    </row>
    <row r="84" spans="1:21" ht="18.75">
      <c r="B84" s="14" t="s">
        <v>17</v>
      </c>
      <c r="C84" s="13"/>
    </row>
    <row r="85" spans="1:21" ht="18.75">
      <c r="B85" s="18" t="s">
        <v>93</v>
      </c>
      <c r="C85" s="8"/>
    </row>
    <row r="86" spans="1:21" ht="18.75">
      <c r="B86" s="138" t="s">
        <v>30</v>
      </c>
      <c r="C86" s="139"/>
    </row>
    <row r="87" spans="1:21" ht="18.75">
      <c r="B87" s="30" t="s">
        <v>21</v>
      </c>
      <c r="C87" s="25"/>
    </row>
    <row r="88" spans="1:21" ht="18.75">
      <c r="B88" s="16" t="s">
        <v>20</v>
      </c>
      <c r="C88" s="9"/>
    </row>
  </sheetData>
  <autoFilter ref="A2:T81" xr:uid="{00000000-0009-0000-0000-000008000000}"/>
  <mergeCells count="9">
    <mergeCell ref="A1:L1"/>
    <mergeCell ref="A78:D78"/>
    <mergeCell ref="E78:G78"/>
    <mergeCell ref="H78:I78"/>
    <mergeCell ref="J78:L78"/>
    <mergeCell ref="A79:D79"/>
    <mergeCell ref="E79:G79"/>
    <mergeCell ref="H79:I79"/>
    <mergeCell ref="J79:L79"/>
  </mergeCells>
  <phoneticPr fontId="54" type="noConversion"/>
  <conditionalFormatting sqref="A2:C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{DDACAEF0-0D18-43E7-9B99-9C5E15138E14}</x14:id>
        </ext>
      </extLst>
    </cfRule>
  </conditionalFormatting>
  <conditionalFormatting sqref="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{38E5B637-3419-4DA2-A6C5-D57C04BEAC06}</x14:id>
        </ext>
      </extLst>
    </cfRule>
  </conditionalFormatting>
  <conditionalFormatting sqref="E2:I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{639BE8AE-4B21-46C4-B413-8DE1AA853B5F}</x14:id>
        </ext>
      </extLst>
    </cfRule>
  </conditionalFormatting>
  <conditionalFormatting sqref="J2:L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{0A6FBBFC-4AA2-4C6F-BB28-087400ED6E35}</x14:id>
        </ext>
      </extLst>
    </cfRule>
  </conditionalFormatting>
  <pageMargins left="0.31496062992125984" right="0.11811023622047245" top="0.15748031496062992" bottom="0" header="0.31496062992125984" footer="0.31496062992125984"/>
  <pageSetup paperSize="9" scale="65" fitToHeight="0" orientation="portrait" verticalDpi="18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ACAEF0-0D18-43E7-9B99-9C5E15138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A2:C2</xm:sqref>
        </x14:conditionalFormatting>
        <x14:conditionalFormatting xmlns:xm="http://schemas.microsoft.com/office/excel/2006/main">
          <x14:cfRule type="dataBar" id="{38E5B637-3419-4DA2-A6C5-D57C04BEA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639BE8AE-4B21-46C4-B413-8DE1AA853B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E2:I2</xm:sqref>
        </x14:conditionalFormatting>
        <x14:conditionalFormatting xmlns:xm="http://schemas.microsoft.com/office/excel/2006/main">
          <x14:cfRule type="dataBar" id="{0A6FBBFC-4AA2-4C6F-BB28-087400ED6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J2:L2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4472-1025-4996-8913-F1A6F617A620}">
  <dimension ref="A1:M24"/>
  <sheetViews>
    <sheetView workbookViewId="0">
      <selection activeCell="H24" sqref="H24"/>
    </sheetView>
  </sheetViews>
  <sheetFormatPr defaultRowHeight="15.75"/>
  <cols>
    <col min="1" max="1" width="11" style="115" customWidth="1"/>
    <col min="2" max="3" width="10.875" style="115" bestFit="1" customWidth="1"/>
    <col min="4" max="7" width="9" style="115"/>
    <col min="8" max="8" width="98.5" style="115" bestFit="1" customWidth="1"/>
    <col min="9" max="11" width="9" style="115"/>
    <col min="12" max="13" width="16.125" style="115" customWidth="1"/>
    <col min="14" max="14" width="9" style="115"/>
    <col min="15" max="15" width="64.625" style="115" bestFit="1" customWidth="1"/>
    <col min="16" max="16384" width="9" style="115"/>
  </cols>
  <sheetData>
    <row r="1" spans="1:13" ht="16.5" thickBot="1">
      <c r="A1" s="114" t="s">
        <v>283</v>
      </c>
    </row>
    <row r="2" spans="1:13" ht="31.5">
      <c r="J2" s="207" t="s">
        <v>556</v>
      </c>
      <c r="K2" s="208"/>
      <c r="L2" s="209">
        <v>5700000</v>
      </c>
      <c r="M2" s="210"/>
    </row>
    <row r="3" spans="1:13" ht="31.5">
      <c r="J3" s="211" t="s">
        <v>557</v>
      </c>
      <c r="K3" s="212"/>
      <c r="L3" s="213">
        <v>2374672</v>
      </c>
      <c r="M3" s="214"/>
    </row>
    <row r="4" spans="1:13" s="121" customFormat="1" ht="32.25" thickBot="1">
      <c r="A4" s="124" t="s">
        <v>406</v>
      </c>
      <c r="B4" s="125" t="s">
        <v>21</v>
      </c>
      <c r="C4" s="125" t="s">
        <v>20</v>
      </c>
      <c r="E4" s="116" t="s">
        <v>522</v>
      </c>
      <c r="F4" s="115" t="str">
        <f>_xlfn.TEXTJOIN(",", TRUE, E4:E16)</f>
        <v>大盟,浩思,三能,新永興,彩越,合品,好好,弘琩,和豐,鼎展建材</v>
      </c>
      <c r="J4" s="215" t="s">
        <v>558</v>
      </c>
      <c r="K4" s="216"/>
      <c r="L4" s="217">
        <f>L3/L2</f>
        <v>0.41660912280701756</v>
      </c>
      <c r="M4" s="218"/>
    </row>
    <row r="5" spans="1:13" ht="31.5">
      <c r="A5" s="123" t="s">
        <v>417</v>
      </c>
      <c r="B5" s="123" t="s">
        <v>410</v>
      </c>
      <c r="C5" s="123" t="s">
        <v>426</v>
      </c>
      <c r="E5" s="115" t="s">
        <v>523</v>
      </c>
      <c r="F5" s="201" t="s">
        <v>570</v>
      </c>
      <c r="J5" s="207" t="s">
        <v>559</v>
      </c>
      <c r="K5" s="208"/>
      <c r="L5" s="219">
        <v>75</v>
      </c>
      <c r="M5" s="220"/>
    </row>
    <row r="6" spans="1:13" ht="31.5">
      <c r="A6" s="122" t="s">
        <v>418</v>
      </c>
      <c r="B6" s="123" t="s">
        <v>411</v>
      </c>
      <c r="C6" s="123" t="s">
        <v>427</v>
      </c>
      <c r="E6" s="115" t="s">
        <v>524</v>
      </c>
      <c r="J6" s="221" t="s">
        <v>22</v>
      </c>
      <c r="K6" s="222"/>
      <c r="L6" s="223">
        <v>60</v>
      </c>
      <c r="M6" s="224"/>
    </row>
    <row r="7" spans="1:13" ht="20.25">
      <c r="A7" s="123" t="s">
        <v>419</v>
      </c>
      <c r="B7" s="123" t="s">
        <v>412</v>
      </c>
      <c r="C7" s="123" t="s">
        <v>428</v>
      </c>
      <c r="E7" s="115" t="s">
        <v>567</v>
      </c>
      <c r="J7" s="225" t="s">
        <v>20</v>
      </c>
      <c r="K7" s="226">
        <v>5</v>
      </c>
      <c r="L7" s="227" t="s">
        <v>513</v>
      </c>
      <c r="M7" s="228"/>
    </row>
    <row r="8" spans="1:13" ht="20.25">
      <c r="A8" s="123" t="s">
        <v>420</v>
      </c>
      <c r="B8" s="123" t="s">
        <v>430</v>
      </c>
      <c r="C8" s="123" t="s">
        <v>429</v>
      </c>
      <c r="E8" s="115" t="s">
        <v>525</v>
      </c>
      <c r="J8" s="225" t="s">
        <v>21</v>
      </c>
      <c r="K8" s="226">
        <v>10</v>
      </c>
      <c r="L8" s="227" t="s">
        <v>560</v>
      </c>
      <c r="M8" s="229"/>
    </row>
    <row r="9" spans="1:13" ht="20.25">
      <c r="A9" s="123" t="s">
        <v>421</v>
      </c>
      <c r="B9" s="123" t="s">
        <v>431</v>
      </c>
      <c r="C9" s="123" t="s">
        <v>408</v>
      </c>
      <c r="E9" s="115" t="s">
        <v>526</v>
      </c>
      <c r="J9" s="225" t="s">
        <v>30</v>
      </c>
      <c r="K9" s="226">
        <v>0</v>
      </c>
      <c r="L9" s="230"/>
      <c r="M9" s="231"/>
    </row>
    <row r="10" spans="1:13">
      <c r="A10" s="246" t="s">
        <v>422</v>
      </c>
      <c r="B10" s="246" t="s">
        <v>415</v>
      </c>
      <c r="C10" s="246" t="s">
        <v>409</v>
      </c>
      <c r="E10" s="115" t="s">
        <v>568</v>
      </c>
      <c r="J10" s="232" t="s">
        <v>93</v>
      </c>
      <c r="K10" s="233">
        <v>10</v>
      </c>
      <c r="L10" s="234" t="s">
        <v>561</v>
      </c>
      <c r="M10" s="235"/>
    </row>
    <row r="11" spans="1:13">
      <c r="A11" s="126" t="s">
        <v>423</v>
      </c>
      <c r="B11" s="126" t="s">
        <v>416</v>
      </c>
      <c r="C11" s="126" t="s">
        <v>410</v>
      </c>
      <c r="E11" s="115" t="s">
        <v>569</v>
      </c>
      <c r="J11" s="236"/>
      <c r="K11" s="237"/>
      <c r="L11" s="238"/>
      <c r="M11" s="239"/>
    </row>
    <row r="12" spans="1:13" ht="20.25">
      <c r="A12" s="123" t="s">
        <v>424</v>
      </c>
      <c r="B12" s="123" t="s">
        <v>427</v>
      </c>
      <c r="C12" s="123" t="s">
        <v>411</v>
      </c>
      <c r="E12" s="115" t="s">
        <v>527</v>
      </c>
      <c r="J12" s="240" t="s">
        <v>286</v>
      </c>
      <c r="K12" s="241">
        <v>4</v>
      </c>
      <c r="L12" s="242" t="s">
        <v>509</v>
      </c>
      <c r="M12" s="243"/>
    </row>
    <row r="13" spans="1:13">
      <c r="A13" s="123" t="s">
        <v>425</v>
      </c>
      <c r="B13" s="123" t="s">
        <v>428</v>
      </c>
      <c r="C13" s="123" t="s">
        <v>412</v>
      </c>
      <c r="E13" s="115" t="s">
        <v>528</v>
      </c>
    </row>
    <row r="14" spans="1:13">
      <c r="A14" s="122" t="s">
        <v>414</v>
      </c>
      <c r="B14" s="123" t="s">
        <v>407</v>
      </c>
      <c r="C14" s="123" t="s">
        <v>413</v>
      </c>
    </row>
    <row r="15" spans="1:13">
      <c r="A15" s="122" t="s">
        <v>415</v>
      </c>
      <c r="B15" s="123" t="s">
        <v>408</v>
      </c>
      <c r="C15" s="123" t="s">
        <v>414</v>
      </c>
    </row>
    <row r="16" spans="1:13">
      <c r="A16" s="122" t="s">
        <v>416</v>
      </c>
      <c r="B16" s="123" t="s">
        <v>409</v>
      </c>
      <c r="C16" s="123" t="s">
        <v>415</v>
      </c>
    </row>
    <row r="19" spans="5:8" ht="18.75">
      <c r="E19" s="171"/>
      <c r="F19" s="117" t="s">
        <v>20</v>
      </c>
      <c r="G19" s="118">
        <v>7</v>
      </c>
      <c r="H19" s="201" t="s">
        <v>566</v>
      </c>
    </row>
    <row r="20" spans="5:8" ht="18.75">
      <c r="E20" s="171"/>
      <c r="F20" s="117" t="s">
        <v>21</v>
      </c>
      <c r="G20" s="118">
        <v>10</v>
      </c>
      <c r="H20" s="247" t="s">
        <v>571</v>
      </c>
    </row>
    <row r="21" spans="5:8" ht="18.75">
      <c r="E21" s="171"/>
      <c r="F21" s="117" t="s">
        <v>30</v>
      </c>
      <c r="G21" s="118">
        <v>0</v>
      </c>
      <c r="H21" s="156"/>
    </row>
    <row r="22" spans="5:8">
      <c r="E22" s="171"/>
      <c r="F22" s="196" t="s">
        <v>93</v>
      </c>
      <c r="G22" s="198">
        <v>14</v>
      </c>
      <c r="H22" s="245" t="s">
        <v>565</v>
      </c>
    </row>
    <row r="23" spans="5:8">
      <c r="F23" s="197"/>
      <c r="G23" s="199"/>
      <c r="H23" s="155"/>
    </row>
    <row r="24" spans="5:8" ht="18.75">
      <c r="E24" s="171"/>
      <c r="F24" s="119" t="s">
        <v>286</v>
      </c>
      <c r="G24" s="120">
        <v>4</v>
      </c>
      <c r="H24" s="244" t="s">
        <v>564</v>
      </c>
    </row>
  </sheetData>
  <mergeCells count="19">
    <mergeCell ref="K10:K11"/>
    <mergeCell ref="L10:M11"/>
    <mergeCell ref="L12:M12"/>
    <mergeCell ref="F22:F23"/>
    <mergeCell ref="G22:G23"/>
    <mergeCell ref="J2:K2"/>
    <mergeCell ref="L2:M2"/>
    <mergeCell ref="J3:K3"/>
    <mergeCell ref="L3:M3"/>
    <mergeCell ref="J4:K4"/>
    <mergeCell ref="L4:M4"/>
    <mergeCell ref="J5:K5"/>
    <mergeCell ref="L5:M5"/>
    <mergeCell ref="J6:K6"/>
    <mergeCell ref="L6:M6"/>
    <mergeCell ref="L7:M7"/>
    <mergeCell ref="L8:M8"/>
    <mergeCell ref="L9:M9"/>
    <mergeCell ref="J10:J11"/>
  </mergeCells>
  <phoneticPr fontId="5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14</vt:i4>
      </vt:variant>
    </vt:vector>
  </HeadingPairs>
  <TitlesOfParts>
    <vt:vector size="22" baseType="lpstr">
      <vt:lpstr>115.01</vt:lpstr>
      <vt:lpstr>115.02</vt:lpstr>
      <vt:lpstr>115.03</vt:lpstr>
      <vt:lpstr>115.04</vt:lpstr>
      <vt:lpstr>115.05</vt:lpstr>
      <vt:lpstr>115.06</vt:lpstr>
      <vt:lpstr>115.07</vt:lpstr>
      <vt:lpstr>工作表1</vt:lpstr>
      <vt:lpstr>'115.01'!Print_Area</vt:lpstr>
      <vt:lpstr>'115.02'!Print_Area</vt:lpstr>
      <vt:lpstr>'115.03'!Print_Area</vt:lpstr>
      <vt:lpstr>'115.04'!Print_Area</vt:lpstr>
      <vt:lpstr>'115.05'!Print_Area</vt:lpstr>
      <vt:lpstr>'115.06'!Print_Area</vt:lpstr>
      <vt:lpstr>'115.07'!Print_Area</vt:lpstr>
      <vt:lpstr>'115.01'!Print_Titles</vt:lpstr>
      <vt:lpstr>'115.02'!Print_Titles</vt:lpstr>
      <vt:lpstr>'115.03'!Print_Titles</vt:lpstr>
      <vt:lpstr>'115.04'!Print_Titles</vt:lpstr>
      <vt:lpstr>'115.05'!Print_Titles</vt:lpstr>
      <vt:lpstr>'115.06'!Print_Titles</vt:lpstr>
      <vt:lpstr>'115.07'!Print_Titles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Micole</dc:creator>
  <cp:lastModifiedBy>漢樺 林</cp:lastModifiedBy>
  <cp:lastPrinted>2026-07-31T06:31:25Z</cp:lastPrinted>
  <dcterms:created xsi:type="dcterms:W3CDTF">2019-07-23T07:47:42Z</dcterms:created>
  <dcterms:modified xsi:type="dcterms:W3CDTF">2026-07-31T06:32:14Z</dcterms:modified>
</cp:coreProperties>
</file>